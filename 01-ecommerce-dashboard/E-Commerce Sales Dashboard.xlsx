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nishu\OneDrive\Desktop\"/>
    </mc:Choice>
  </mc:AlternateContent>
  <bookViews>
    <workbookView xWindow="0" yWindow="0" windowWidth="7476" windowHeight="2808" activeTab="4"/>
  </bookViews>
  <sheets>
    <sheet name="RAWDATA" sheetId="1" r:id="rId1"/>
    <sheet name="DATASET" sheetId="2" r:id="rId2"/>
    <sheet name="ANALYSIS" sheetId="3" r:id="rId3"/>
    <sheet name="TASK" sheetId="4" r:id="rId4"/>
    <sheet name="DASHBOARD" sheetId="5" r:id="rId5"/>
  </sheets>
  <definedNames>
    <definedName name="ExternalData_1" localSheetId="1" hidden="1">DATASET!$A$1:$J$35</definedName>
    <definedName name="Slicer_Company_Name">#N/A</definedName>
    <definedName name="Slicer_Location">#N/A</definedName>
  </definedNames>
  <calcPr calcId="152511"/>
  <pivotCaches>
    <pivotCache cacheId="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6" i="2" l="1"/>
  <c r="I35" i="1"/>
  <c r="J35" i="1" s="1"/>
  <c r="F35" i="1"/>
  <c r="I34" i="1"/>
  <c r="J34" i="1" s="1"/>
  <c r="F34" i="1"/>
  <c r="I33" i="1"/>
  <c r="J33" i="1" s="1"/>
  <c r="F33" i="1"/>
  <c r="I32" i="1"/>
  <c r="J32" i="1" s="1"/>
  <c r="F32" i="1"/>
  <c r="I31" i="1"/>
  <c r="J31" i="1" s="1"/>
  <c r="F31" i="1"/>
  <c r="I30" i="1"/>
  <c r="J30" i="1" s="1"/>
  <c r="F30" i="1"/>
  <c r="I29" i="1"/>
  <c r="J29" i="1" s="1"/>
  <c r="F29" i="1"/>
  <c r="I28" i="1"/>
  <c r="J28" i="1" s="1"/>
  <c r="F28" i="1"/>
  <c r="I27" i="1"/>
  <c r="J27" i="1" s="1"/>
  <c r="F27" i="1"/>
  <c r="I26" i="1"/>
  <c r="J26" i="1" s="1"/>
  <c r="F26" i="1"/>
  <c r="I25" i="1"/>
  <c r="J25" i="1" s="1"/>
  <c r="F25" i="1"/>
  <c r="I24" i="1"/>
  <c r="J24" i="1" s="1"/>
  <c r="F24" i="1"/>
  <c r="I23" i="1"/>
  <c r="J23" i="1" s="1"/>
  <c r="F23" i="1"/>
  <c r="I22" i="1"/>
  <c r="J22" i="1" s="1"/>
  <c r="F22" i="1"/>
  <c r="I21" i="1"/>
  <c r="J21" i="1" s="1"/>
  <c r="F21" i="1"/>
  <c r="I20" i="1"/>
  <c r="J20" i="1" s="1"/>
  <c r="F20" i="1"/>
  <c r="J19" i="1"/>
  <c r="F19" i="1"/>
  <c r="J18" i="1"/>
  <c r="F18" i="1"/>
  <c r="J17" i="1"/>
  <c r="F17" i="1"/>
  <c r="J16" i="1"/>
  <c r="F16" i="1"/>
  <c r="J15" i="1"/>
  <c r="F15" i="1"/>
  <c r="I14" i="1"/>
  <c r="J14" i="1" s="1"/>
  <c r="F14" i="1"/>
  <c r="J13" i="1"/>
  <c r="F13" i="1"/>
  <c r="J12" i="1"/>
  <c r="F12" i="1"/>
  <c r="J11" i="1"/>
  <c r="F11" i="1"/>
  <c r="J10" i="1"/>
  <c r="F10" i="1"/>
  <c r="J9" i="1"/>
  <c r="F9" i="1"/>
  <c r="J8" i="1"/>
  <c r="F8" i="1"/>
  <c r="J7" i="1"/>
  <c r="F7" i="1"/>
  <c r="J6" i="1"/>
  <c r="F6" i="1"/>
  <c r="J5" i="1"/>
  <c r="F5" i="1"/>
  <c r="J4" i="1"/>
  <c r="F4" i="1"/>
  <c r="J3" i="1"/>
  <c r="F3" i="1"/>
  <c r="J2" i="1"/>
  <c r="F2" i="1"/>
  <c r="A7" i="3"/>
  <c r="B7" i="3"/>
</calcChain>
</file>

<file path=xl/connections.xml><?xml version="1.0" encoding="utf-8"?>
<connections xmlns="http://schemas.openxmlformats.org/spreadsheetml/2006/main">
  <connection id="1" keepAlive="1" name="Query - Table1" description="Connection to the 'Table1' query in the workbook." type="5" refreshedVersion="5" background="1" saveData="1">
    <dbPr connection="provider=Microsoft.Mashup.OleDb.1;data source=$EmbeddedMashup(313664e5-a36f-4362-a122-fc21c3a4d207)$;location=Table1;extended properties=UEsDBBQAAgAIAAB6/Fw/IXDGqwAAAPoAAAASABwAQ29uZmlnL1BhY2thZ2UueG1sIKIYACigFAAAAAAAAAAAAAAAAAAAAAAAAAAAAIWPzQqCQBSFX0Vm750f0Uqu46JVkBEE0VamSYd0DB3Td2vRI/UKBWW0a3fOx7c453G7YzrWlXfVbWcamxAOjHjaquZobJGQ3p38OUklbnN1zgvtvWTbxWN3TEjp3CWmdBgGGAJo2oIKxjg9ZOudKnWdk69s/su+sZ3LrdJE4v49RgqIBIRCCJgxjnTCmBk7ZQ4hBGIRAUP6g3HZV65vtdTWX22QThXp54d8AlBLAwQUAAIACAAAevx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AHr8XM3v9aITAQAAMwIAABMAHABGb3JtdWxhcy9TZWN0aW9uMS5tIKIYACigFAAAAAAAAAAAAAAAAAAAAAAAAAAAAHWQQWuDQBCF74L/YdleFEQIlF5CTtpDoLQWLT2EHCbrtJGsu2F3hIj437sboU2r3css82a+NzyLghqtWDnV1ToMwsAewWDNKjhIXLENk0hhwNwrdWcEus7jRaBMs84YVPSuzemg9SmKh90ztLjh0ybfj7tMK3Ij+2QC3PHsCOrTw/szcke6jqaVAWU/tGkzLbtWedFGk1syDDzT7RlUzzydJ4yczAgvNCZs4E9agL99JpQg0bICjV0QX0yNhm1zJ2wVPdyn3vNmLQf6tqrdn5p2knPo7YxWGF13gpYPfFMNscI0Audmrx0oaqifK5UmkL/bY/wTo0RQPkZn8m+MNvqT90KWHpBeabdnj3EYNGrRbP0FUEsBAi0AFAACAAgAAHr8XD8hcMarAAAA+gAAABIAAAAAAAAAAAAAAAAAAAAAAENvbmZpZy9QYWNrYWdlLnhtbFBLAQItABQAAgAIAAB6/FwPyumrpAAAAOkAAAATAAAAAAAAAAAAAAAAAPcAAABbQ29udGVudF9UeXBlc10ueG1sUEsBAi0AFAACAAgAAHr8XM3v9aITAQAAMwIAABMAAAAAAAAAAAAAAAAA6AEAAEZvcm11bGFzL1NlY3Rpb24xLm1QSwUGAAAAAAMAAwDCAAAASAMAAAAA" command="SELECT * FROM [Table1]"/>
  </connection>
</connections>
</file>

<file path=xl/sharedStrings.xml><?xml version="1.0" encoding="utf-8"?>
<sst xmlns="http://schemas.openxmlformats.org/spreadsheetml/2006/main" count="380" uniqueCount="65">
  <si>
    <t>Company Name</t>
  </si>
  <si>
    <t>Location</t>
  </si>
  <si>
    <t>Sales Person</t>
  </si>
  <si>
    <t>Order ID</t>
  </si>
  <si>
    <t>Sales Date</t>
  </si>
  <si>
    <t>Days</t>
  </si>
  <si>
    <t>Product Name</t>
  </si>
  <si>
    <t>Unit Price</t>
  </si>
  <si>
    <t>Quantity</t>
  </si>
  <si>
    <t>Total</t>
  </si>
  <si>
    <t>GlobalIT</t>
  </si>
  <si>
    <t>Argentina</t>
  </si>
  <si>
    <t>Nancy Davolio</t>
  </si>
  <si>
    <t>Hard Rug</t>
  </si>
  <si>
    <t>Janet Leverling</t>
  </si>
  <si>
    <t>Red Silk</t>
  </si>
  <si>
    <t>Michael Suyama</t>
  </si>
  <si>
    <t>Soft Rug</t>
  </si>
  <si>
    <t>Rox Luxurious Hotel</t>
  </si>
  <si>
    <t>Germany</t>
  </si>
  <si>
    <t>Margaret Peacock</t>
  </si>
  <si>
    <t xml:space="preserve">Lifeline Health Centre </t>
  </si>
  <si>
    <t>Finland</t>
  </si>
  <si>
    <t>Soft Silk</t>
  </si>
  <si>
    <t>Mac Healthcare</t>
  </si>
  <si>
    <t>France</t>
  </si>
  <si>
    <t xml:space="preserve">Smith Peterson </t>
  </si>
  <si>
    <t>Alvin Wilson</t>
  </si>
  <si>
    <t>Alpha Supermart</t>
  </si>
  <si>
    <t>Holland</t>
  </si>
  <si>
    <t>Fri</t>
  </si>
  <si>
    <t>Tue</t>
  </si>
  <si>
    <t>Mon</t>
  </si>
  <si>
    <t>Thu</t>
  </si>
  <si>
    <t>Sat</t>
  </si>
  <si>
    <t>Wed</t>
  </si>
  <si>
    <t>Sun</t>
  </si>
  <si>
    <t>Sum of Total</t>
  </si>
  <si>
    <t>Count of Total</t>
  </si>
  <si>
    <t>Total Sales</t>
  </si>
  <si>
    <t>No. of Orders</t>
  </si>
  <si>
    <t xml:space="preserve"> KPI's Analysis</t>
  </si>
  <si>
    <t>Chart's problem</t>
  </si>
  <si>
    <t>1. salesman sales</t>
  </si>
  <si>
    <t>2. monthly trend</t>
  </si>
  <si>
    <t>3. daily trend</t>
  </si>
  <si>
    <t>4. company sales</t>
  </si>
  <si>
    <t>KPI's Problem</t>
  </si>
  <si>
    <t>5. Total Sales</t>
  </si>
  <si>
    <t>6 Total Order</t>
  </si>
  <si>
    <t>SALES PERSON DATA</t>
  </si>
  <si>
    <t>DAILY TRENDS</t>
  </si>
  <si>
    <t>Jan</t>
  </si>
  <si>
    <t>Feb</t>
  </si>
  <si>
    <t>Mar</t>
  </si>
  <si>
    <t>Apr</t>
  </si>
  <si>
    <t>May</t>
  </si>
  <si>
    <t>Jun</t>
  </si>
  <si>
    <t>Jul</t>
  </si>
  <si>
    <t>Aug</t>
  </si>
  <si>
    <t>Sep</t>
  </si>
  <si>
    <t>Oct</t>
  </si>
  <si>
    <t>Nov</t>
  </si>
  <si>
    <t>Dec</t>
  </si>
  <si>
    <t>MONTHLY TRENDS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</si>
</sst>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mmm\-yyyy"/>
    <numFmt numFmtId="165" formatCode="&quot;$&quot;#,##0.00;\(&quot;$&quot;#,##0.00\)"/>
    <numFmt numFmtId="166" formatCode="\$0.00,\K"/>
    <numFmt numFmtId="167" formatCode="\$0.00,\k"/>
  </numFmts>
  <fonts count="6" x14ac:knownFonts="1">
    <font>
      <sz val="11"/>
      <color theme="1"/>
      <name val="Calibri"/>
      <family val="2"/>
      <scheme val="minor"/>
    </font>
    <font>
      <sz val="11"/>
      <color rgb="FF9C0006"/>
      <name val="Calibri"/>
      <family val="2"/>
      <scheme val="minor"/>
    </font>
    <font>
      <b/>
      <sz val="11"/>
      <color theme="1"/>
      <name val="Calibri"/>
      <family val="2"/>
      <scheme val="minor"/>
    </font>
    <font>
      <b/>
      <sz val="10"/>
      <color indexed="8"/>
      <name val="Arial"/>
      <family val="2"/>
    </font>
    <font>
      <sz val="10"/>
      <color indexed="8"/>
      <name val="Arial"/>
      <family val="2"/>
    </font>
    <font>
      <sz val="10"/>
      <color indexed="8"/>
      <name val="Arial"/>
    </font>
  </fonts>
  <fills count="7">
    <fill>
      <patternFill patternType="none"/>
    </fill>
    <fill>
      <patternFill patternType="gray125"/>
    </fill>
    <fill>
      <patternFill patternType="solid">
        <fgColor rgb="FFFFC7CE"/>
      </patternFill>
    </fill>
    <fill>
      <patternFill patternType="solid">
        <fgColor theme="6" tint="0.39997558519241921"/>
        <bgColor indexed="64"/>
      </patternFill>
    </fill>
    <fill>
      <patternFill patternType="solid">
        <fgColor theme="5" tint="0.79998168889431442"/>
        <bgColor indexed="64"/>
      </patternFill>
    </fill>
    <fill>
      <patternFill patternType="solid">
        <fgColor rgb="FFFFFF00"/>
        <bgColor indexed="64"/>
      </patternFill>
    </fill>
    <fill>
      <patternFill patternType="solid">
        <fgColor theme="3"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 fillId="2" borderId="0" applyNumberFormat="0" applyBorder="0" applyAlignment="0" applyProtection="0"/>
  </cellStyleXfs>
  <cellXfs count="48">
    <xf numFmtId="0" fontId="0" fillId="0" borderId="0" xfId="0"/>
    <xf numFmtId="0" fontId="4" fillId="4" borderId="1" xfId="0" applyFont="1" applyFill="1" applyBorder="1" applyAlignment="1">
      <alignment horizontal="left" wrapText="1"/>
    </xf>
    <xf numFmtId="164" fontId="4" fillId="4" borderId="1" xfId="0" applyNumberFormat="1" applyFont="1" applyFill="1" applyBorder="1" applyAlignment="1">
      <alignment horizontal="left" wrapText="1"/>
    </xf>
    <xf numFmtId="165" fontId="4" fillId="4" borderId="1" xfId="0" applyNumberFormat="1" applyFont="1" applyFill="1" applyBorder="1" applyAlignment="1">
      <alignment horizontal="left" wrapText="1"/>
    </xf>
    <xf numFmtId="0" fontId="4" fillId="4" borderId="2" xfId="0" applyFont="1" applyFill="1" applyBorder="1" applyAlignment="1">
      <alignment horizontal="left" wrapText="1"/>
    </xf>
    <xf numFmtId="165" fontId="4" fillId="4" borderId="3" xfId="0" applyNumberFormat="1" applyFont="1" applyFill="1" applyBorder="1" applyAlignment="1">
      <alignment horizontal="left" wrapText="1"/>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4" fillId="4" borderId="7" xfId="0" applyFont="1" applyFill="1" applyBorder="1" applyAlignment="1">
      <alignment horizontal="left" wrapText="1"/>
    </xf>
    <xf numFmtId="0" fontId="4" fillId="4" borderId="8" xfId="0" applyFont="1" applyFill="1" applyBorder="1" applyAlignment="1">
      <alignment horizontal="left" wrapText="1"/>
    </xf>
    <xf numFmtId="164" fontId="4" fillId="4" borderId="8" xfId="0" applyNumberFormat="1" applyFont="1" applyFill="1" applyBorder="1" applyAlignment="1">
      <alignment horizontal="left" wrapText="1"/>
    </xf>
    <xf numFmtId="165" fontId="4" fillId="4" borderId="8" xfId="0" applyNumberFormat="1" applyFont="1" applyFill="1" applyBorder="1" applyAlignment="1">
      <alignment horizontal="left" wrapText="1"/>
    </xf>
    <xf numFmtId="165" fontId="4" fillId="4" borderId="9" xfId="0" applyNumberFormat="1" applyFont="1" applyFill="1" applyBorder="1" applyAlignment="1">
      <alignment horizontal="left" wrapText="1"/>
    </xf>
    <xf numFmtId="0" fontId="0" fillId="0" borderId="0" xfId="0" quotePrefix="1" applyNumberFormat="1" applyAlignment="1"/>
    <xf numFmtId="0" fontId="0" fillId="0" borderId="0" xfId="0" applyNumberFormat="1" applyAlignment="1"/>
    <xf numFmtId="22" fontId="0" fillId="0" borderId="0" xfId="0" applyNumberFormat="1" applyAlignment="1"/>
    <xf numFmtId="0" fontId="5" fillId="4" borderId="7" xfId="0" applyFont="1" applyFill="1" applyBorder="1" applyAlignment="1">
      <alignment horizontal="left" wrapText="1"/>
    </xf>
    <xf numFmtId="0" fontId="5" fillId="4" borderId="8" xfId="0" applyFont="1" applyFill="1" applyBorder="1" applyAlignment="1">
      <alignment horizontal="left" wrapText="1"/>
    </xf>
    <xf numFmtId="164" fontId="5" fillId="4" borderId="8" xfId="0" applyNumberFormat="1" applyFont="1" applyFill="1" applyBorder="1" applyAlignment="1">
      <alignment horizontal="left" wrapText="1"/>
    </xf>
    <xf numFmtId="165" fontId="5" fillId="4" borderId="8" xfId="0" applyNumberFormat="1" applyFont="1" applyFill="1" applyBorder="1" applyAlignment="1">
      <alignment horizontal="left" wrapText="1"/>
    </xf>
    <xf numFmtId="165" fontId="5" fillId="4" borderId="9" xfId="0" applyNumberFormat="1" applyFont="1" applyFill="1" applyBorder="1" applyAlignment="1">
      <alignment horizontal="left" wrapText="1"/>
    </xf>
    <xf numFmtId="0" fontId="0" fillId="0" borderId="0"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1" fillId="2" borderId="13" xfId="1" applyBorder="1"/>
    <xf numFmtId="0" fontId="1" fillId="2" borderId="0" xfId="1" applyBorder="1"/>
    <xf numFmtId="166" fontId="0" fillId="0" borderId="13" xfId="0" applyNumberFormat="1" applyBorder="1"/>
    <xf numFmtId="0" fontId="0" fillId="0" borderId="0" xfId="0" pivotButton="1" applyBorder="1"/>
    <xf numFmtId="167" fontId="0" fillId="0" borderId="0" xfId="0" applyNumberFormat="1" applyBorder="1"/>
    <xf numFmtId="0" fontId="0" fillId="0" borderId="18" xfId="0" applyNumberFormat="1" applyBorder="1"/>
    <xf numFmtId="167" fontId="0" fillId="0" borderId="18" xfId="0" applyNumberFormat="1" applyBorder="1"/>
    <xf numFmtId="167" fontId="0" fillId="0" borderId="19" xfId="0" applyNumberFormat="1" applyBorder="1"/>
    <xf numFmtId="167" fontId="0" fillId="0" borderId="20" xfId="0" applyNumberFormat="1" applyBorder="1"/>
    <xf numFmtId="0" fontId="0" fillId="0" borderId="19" xfId="0" pivotButton="1" applyBorder="1"/>
    <xf numFmtId="0" fontId="0" fillId="0" borderId="19" xfId="0" applyBorder="1"/>
    <xf numFmtId="0" fontId="0" fillId="0" borderId="18" xfId="0" applyBorder="1"/>
    <xf numFmtId="0" fontId="0" fillId="0" borderId="20" xfId="0" pivotButton="1" applyBorder="1"/>
    <xf numFmtId="0" fontId="0" fillId="0" borderId="20" xfId="0" applyBorder="1"/>
    <xf numFmtId="0" fontId="2" fillId="6" borderId="10" xfId="0" applyFont="1" applyFill="1" applyBorder="1" applyAlignment="1">
      <alignment horizontal="center"/>
    </xf>
    <xf numFmtId="0" fontId="0" fillId="6" borderId="11" xfId="0" applyFill="1" applyBorder="1" applyAlignment="1">
      <alignment horizontal="center"/>
    </xf>
    <xf numFmtId="0" fontId="0" fillId="6" borderId="12" xfId="0" applyFill="1" applyBorder="1" applyAlignment="1">
      <alignment horizontal="center"/>
    </xf>
    <xf numFmtId="0" fontId="0" fillId="5" borderId="0" xfId="0" applyFill="1" applyAlignment="1">
      <alignment horizontal="center"/>
    </xf>
    <xf numFmtId="22" fontId="0" fillId="0" borderId="13" xfId="0" applyNumberFormat="1" applyBorder="1"/>
    <xf numFmtId="22" fontId="0" fillId="0" borderId="15" xfId="0" applyNumberFormat="1" applyBorder="1"/>
  </cellXfs>
  <cellStyles count="2">
    <cellStyle name="Bad" xfId="1" builtinId="27"/>
    <cellStyle name="Normal" xfId="0" builtinId="0"/>
  </cellStyles>
  <dxfs count="184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0,\k"/>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vertical/>
        <horizontal/>
      </border>
    </dxf>
    <dxf>
      <border>
        <left/>
        <right/>
        <top/>
        <bottom/>
        <vertical/>
        <horizontal/>
      </border>
    </dxf>
    <dxf>
      <border>
        <left/>
        <right/>
        <top/>
        <bottom/>
        <vertical/>
        <horizontal/>
      </border>
    </dxf>
    <dxf>
      <numFmt numFmtId="167" formatCode="\$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7" formatCode="\$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7" formatCode="\$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7" formatCode="\$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67" formatCode="\$0.0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27" formatCode="dd/mm/yyyy\ hh:mm"/>
      <alignment horizontal="general" vertical="bottom" textRotation="0" wrapText="0" indent="0" justifyLastLine="0" shrinkToFit="0" readingOrder="0"/>
    </dxf>
    <dxf>
      <numFmt numFmtId="27" formatCode="dd/mm/yyyy\ hh:mm"/>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indexed="8"/>
        <name val="Arial"/>
        <scheme val="none"/>
      </font>
      <numFmt numFmtId="165" formatCode="&quot;$&quot;#,##0.00;\(&quot;$&quot;#,##0.00\)"/>
      <fill>
        <patternFill patternType="solid">
          <fgColor indexed="64"/>
          <bgColor theme="5" tint="0.79998168889431442"/>
        </patternFill>
      </fill>
      <alignment horizontal="left" vertical="bottom"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indexed="8"/>
        <name val="Arial"/>
        <scheme val="none"/>
      </font>
      <numFmt numFmtId="165" formatCode="&quot;$&quot;#,##0.00;\(&quot;$&quot;#,##0.00\)"/>
      <fill>
        <patternFill patternType="solid">
          <fgColor indexed="64"/>
          <bgColor theme="5" tint="0.79998168889431442"/>
        </patternFill>
      </fill>
      <alignment horizontal="left"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indexed="8"/>
        <name val="Arial"/>
        <scheme val="none"/>
      </font>
      <fill>
        <patternFill patternType="solid">
          <fgColor indexed="64"/>
          <bgColor theme="5" tint="0.79998168889431442"/>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fill>
        <patternFill patternType="solid">
          <fgColor indexed="64"/>
          <bgColor theme="5"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scheme val="none"/>
      </font>
      <numFmt numFmtId="165" formatCode="&quot;$&quot;#,##0.00;\(&quot;$&quot;#,##0.00\)"/>
      <fill>
        <patternFill patternType="solid">
          <fgColor indexed="64"/>
          <bgColor theme="5" tint="0.79998168889431442"/>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165" formatCode="&quot;$&quot;#,##0.00;\(&quot;$&quot;#,##0.00\)"/>
      <fill>
        <patternFill patternType="solid">
          <fgColor indexed="64"/>
          <bgColor theme="5"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scheme val="none"/>
      </font>
      <fill>
        <patternFill patternType="solid">
          <fgColor indexed="64"/>
          <bgColor theme="5" tint="0.79998168889431442"/>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fill>
        <patternFill patternType="solid">
          <fgColor indexed="64"/>
          <bgColor theme="5"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scheme val="none"/>
      </font>
      <numFmt numFmtId="164" formatCode="dd\-mmm\-yyyy"/>
      <fill>
        <patternFill patternType="solid">
          <fgColor indexed="64"/>
          <bgColor theme="5" tint="0.79998168889431442"/>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164" formatCode="dd\-mmm\-yyyy"/>
      <fill>
        <patternFill patternType="solid">
          <fgColor indexed="64"/>
          <bgColor theme="5"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scheme val="none"/>
      </font>
      <numFmt numFmtId="164" formatCode="dd\-mmm\-yyyy"/>
      <fill>
        <patternFill patternType="solid">
          <fgColor indexed="64"/>
          <bgColor theme="5" tint="0.79998168889431442"/>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numFmt numFmtId="164" formatCode="dd\-mmm\-yyyy"/>
      <fill>
        <patternFill patternType="solid">
          <fgColor indexed="64"/>
          <bgColor theme="5"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scheme val="none"/>
      </font>
      <fill>
        <patternFill patternType="solid">
          <fgColor indexed="64"/>
          <bgColor theme="5" tint="0.79998168889431442"/>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fill>
        <patternFill patternType="solid">
          <fgColor indexed="64"/>
          <bgColor theme="5"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scheme val="none"/>
      </font>
      <fill>
        <patternFill patternType="solid">
          <fgColor indexed="64"/>
          <bgColor theme="5" tint="0.79998168889431442"/>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fill>
        <patternFill patternType="solid">
          <fgColor indexed="64"/>
          <bgColor theme="5"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scheme val="none"/>
      </font>
      <fill>
        <patternFill patternType="solid">
          <fgColor indexed="64"/>
          <bgColor theme="5" tint="0.79998168889431442"/>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indexed="8"/>
        <name val="Arial"/>
        <scheme val="none"/>
      </font>
      <fill>
        <patternFill patternType="solid">
          <fgColor indexed="64"/>
          <bgColor theme="5" tint="0.7999816888943144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scheme val="none"/>
      </font>
      <fill>
        <patternFill patternType="solid">
          <fgColor indexed="64"/>
          <bgColor theme="5" tint="0.79998168889431442"/>
        </patternFill>
      </fill>
      <alignment horizontal="left" vertical="bottom"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indexed="8"/>
        <name val="Arial"/>
        <scheme val="none"/>
      </font>
      <fill>
        <patternFill patternType="solid">
          <fgColor indexed="64"/>
          <bgColor theme="5" tint="0.79998168889431442"/>
        </patternFill>
      </fill>
      <alignment horizontal="left"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indexed="8"/>
        <name val="Arial"/>
        <scheme val="none"/>
      </font>
      <fill>
        <patternFill patternType="solid">
          <fgColor indexed="64"/>
          <bgColor theme="6"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1841"/>
      <tableStyleElement type="headerRow" dxfId="1840"/>
      <tableStyleElement type="firstRowStripe" dxfId="1839"/>
    </tableStyle>
    <tableStyle name="TableStyleQueryResult" pivot="0" count="3">
      <tableStyleElement type="wholeTable" dxfId="1838"/>
      <tableStyleElement type="headerRow" dxfId="1837"/>
      <tableStyleElement type="firstRowStripe" dxfId="1836"/>
    </tableStyle>
  </tableStyles>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Dashboard.xlsx]ANALYSIS!PivotTable9</c:name>
    <c:fmtId val="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c:spPr>
      </c:pivotFmt>
      <c:pivotFmt>
        <c:idx val="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pivotFmt>
      <c:pivotFmt>
        <c:idx val="5"/>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c:spPr>
      </c:pivotFmt>
    </c:pivotFmts>
    <c:plotArea>
      <c:layout>
        <c:manualLayout>
          <c:layoutTarget val="inner"/>
          <c:xMode val="edge"/>
          <c:yMode val="edge"/>
          <c:x val="0.48644860017497815"/>
          <c:y val="2.3148148148148147E-3"/>
          <c:w val="0.46388888888888891"/>
          <c:h val="0.77314814814814814"/>
        </c:manualLayout>
      </c:layout>
      <c:doughnutChart>
        <c:varyColors val="1"/>
        <c:ser>
          <c:idx val="0"/>
          <c:order val="0"/>
          <c:tx>
            <c:strRef>
              <c:f>ANALYSIS!$B$49</c:f>
              <c:strCache>
                <c:ptCount val="1"/>
                <c:pt idx="0">
                  <c:v>Total</c:v>
                </c:pt>
              </c:strCache>
            </c:strRef>
          </c:tx>
          <c:dPt>
            <c:idx val="0"/>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c:spPr>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3"/>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dPt>
          <c:dPt>
            <c:idx val="4"/>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ANALYSIS!$A$50:$A$54</c:f>
              <c:strCache>
                <c:ptCount val="5"/>
                <c:pt idx="0">
                  <c:v>Alpha Supermart</c:v>
                </c:pt>
                <c:pt idx="1">
                  <c:v>GlobalIT</c:v>
                </c:pt>
                <c:pt idx="2">
                  <c:v>Lifeline Health Centre </c:v>
                </c:pt>
                <c:pt idx="3">
                  <c:v>Mac Healthcare</c:v>
                </c:pt>
                <c:pt idx="4">
                  <c:v>Rox Luxurious Hotel</c:v>
                </c:pt>
              </c:strCache>
            </c:strRef>
          </c:cat>
          <c:val>
            <c:numRef>
              <c:f>ANALYSIS!$B$50:$B$54</c:f>
              <c:numCache>
                <c:formatCode>\$0.00,\k</c:formatCode>
                <c:ptCount val="5"/>
                <c:pt idx="0">
                  <c:v>3120</c:v>
                </c:pt>
                <c:pt idx="1">
                  <c:v>4700</c:v>
                </c:pt>
                <c:pt idx="2">
                  <c:v>10014</c:v>
                </c:pt>
                <c:pt idx="3">
                  <c:v>3400</c:v>
                </c:pt>
                <c:pt idx="4">
                  <c:v>5680</c:v>
                </c:pt>
              </c:numCache>
            </c:numRef>
          </c:val>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Dashboard.xlsx]ANALYSIS!PivotTable8</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7.4999999999999997E-2"/>
          <c:y val="0.24476633129192185"/>
          <c:w val="0.78327734033245844"/>
          <c:h val="0.53774387576552929"/>
        </c:manualLayout>
      </c:layout>
      <c:lineChart>
        <c:grouping val="standard"/>
        <c:varyColors val="0"/>
        <c:ser>
          <c:idx val="0"/>
          <c:order val="0"/>
          <c:tx>
            <c:strRef>
              <c:f>ANALYSIS!$B$34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ANALYSIS!$A$35:$A$46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ANALYSIS!$B$35:$B$46</c:f>
              <c:numCache>
                <c:formatCode>\$0.00,\k</c:formatCode>
                <c:ptCount val="12"/>
                <c:pt idx="0">
                  <c:v>12814</c:v>
                </c:pt>
                <c:pt idx="1">
                  <c:v>240</c:v>
                </c:pt>
                <c:pt idx="2">
                  <c:v>3400</c:v>
                </c:pt>
                <c:pt idx="3">
                  <c:v>1120</c:v>
                </c:pt>
                <c:pt idx="4">
                  <c:v>4960</c:v>
                </c:pt>
                <c:pt idx="5">
                  <c:v>360</c:v>
                </c:pt>
                <c:pt idx="6">
                  <c:v>480</c:v>
                </c:pt>
                <c:pt idx="7">
                  <c:v>640</c:v>
                </c:pt>
                <c:pt idx="8">
                  <c:v>400</c:v>
                </c:pt>
                <c:pt idx="9">
                  <c:v>100</c:v>
                </c:pt>
                <c:pt idx="10">
                  <c:v>1600</c:v>
                </c:pt>
                <c:pt idx="11">
                  <c:v>800</c:v>
                </c:pt>
              </c:numCache>
            </c:numRef>
          </c:val>
          <c:smooth val="0"/>
        </c:ser>
        <c:dLbls>
          <c:showLegendKey val="0"/>
          <c:showVal val="0"/>
          <c:showCatName val="0"/>
          <c:showSerName val="0"/>
          <c:showPercent val="0"/>
          <c:showBubbleSize val="0"/>
        </c:dLbls>
        <c:marker val="1"/>
        <c:smooth val="0"/>
        <c:axId val="1290825584"/>
        <c:axId val="1290827216"/>
      </c:lineChart>
      <c:catAx>
        <c:axId val="129082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827216"/>
        <c:crosses val="autoZero"/>
        <c:auto val="1"/>
        <c:lblAlgn val="ctr"/>
        <c:lblOffset val="100"/>
        <c:noMultiLvlLbl val="0"/>
      </c:catAx>
      <c:valAx>
        <c:axId val="1290827216"/>
        <c:scaling>
          <c:orientation val="minMax"/>
        </c:scaling>
        <c:delete val="1"/>
        <c:axPos val="l"/>
        <c:numFmt formatCode="\$0.00,\k" sourceLinked="1"/>
        <c:majorTickMark val="none"/>
        <c:minorTickMark val="none"/>
        <c:tickLblPos val="nextTo"/>
        <c:crossAx val="1290825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Dashboard.xlsx]ANALYSIS!PivotTable7</c:name>
    <c:fmtId val="0"/>
  </c:pivotSource>
  <c:chart>
    <c:autoTitleDeleted val="1"/>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ANALYSIS!$B$23</c:f>
              <c:strCache>
                <c:ptCount val="1"/>
                <c:pt idx="0">
                  <c:v>Total</c:v>
                </c:pt>
              </c:strCache>
            </c:strRef>
          </c:tx>
          <c:spPr>
            <a:solidFill>
              <a:schemeClr val="accent1"/>
            </a:solidFill>
            <a:ln>
              <a:noFill/>
            </a:ln>
            <a:effectLst/>
            <a:sp3d/>
          </c:spPr>
          <c:invertIfNegative val="0"/>
          <c:cat>
            <c:strRef>
              <c:f>ANALYSIS!$A$24:$A$30</c:f>
              <c:strCache>
                <c:ptCount val="7"/>
                <c:pt idx="0">
                  <c:v>Sun</c:v>
                </c:pt>
                <c:pt idx="1">
                  <c:v>Mon</c:v>
                </c:pt>
                <c:pt idx="2">
                  <c:v>Tue</c:v>
                </c:pt>
                <c:pt idx="3">
                  <c:v>Wed</c:v>
                </c:pt>
                <c:pt idx="4">
                  <c:v>Thu</c:v>
                </c:pt>
                <c:pt idx="5">
                  <c:v>Fri</c:v>
                </c:pt>
                <c:pt idx="6">
                  <c:v>Sat</c:v>
                </c:pt>
              </c:strCache>
            </c:strRef>
          </c:cat>
          <c:val>
            <c:numRef>
              <c:f>ANALYSIS!$B$24:$B$30</c:f>
              <c:numCache>
                <c:formatCode>\$0.00,\k</c:formatCode>
                <c:ptCount val="7"/>
                <c:pt idx="0">
                  <c:v>2000</c:v>
                </c:pt>
                <c:pt idx="1">
                  <c:v>3254</c:v>
                </c:pt>
                <c:pt idx="2">
                  <c:v>4230</c:v>
                </c:pt>
                <c:pt idx="3">
                  <c:v>2540</c:v>
                </c:pt>
                <c:pt idx="4">
                  <c:v>8880</c:v>
                </c:pt>
                <c:pt idx="5">
                  <c:v>3730</c:v>
                </c:pt>
                <c:pt idx="6">
                  <c:v>2280</c:v>
                </c:pt>
              </c:numCache>
            </c:numRef>
          </c:val>
        </c:ser>
        <c:dLbls>
          <c:showLegendKey val="0"/>
          <c:showVal val="0"/>
          <c:showCatName val="0"/>
          <c:showSerName val="0"/>
          <c:showPercent val="0"/>
          <c:showBubbleSize val="0"/>
        </c:dLbls>
        <c:gapWidth val="150"/>
        <c:shape val="box"/>
        <c:axId val="1290831024"/>
        <c:axId val="1290831568"/>
        <c:axId val="0"/>
      </c:bar3DChart>
      <c:catAx>
        <c:axId val="1290831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831568"/>
        <c:crosses val="autoZero"/>
        <c:auto val="1"/>
        <c:lblAlgn val="ctr"/>
        <c:lblOffset val="100"/>
        <c:noMultiLvlLbl val="0"/>
      </c:catAx>
      <c:valAx>
        <c:axId val="1290831568"/>
        <c:scaling>
          <c:orientation val="minMax"/>
        </c:scaling>
        <c:delete val="1"/>
        <c:axPos val="l"/>
        <c:majorGridlines>
          <c:spPr>
            <a:ln w="9525" cap="flat" cmpd="sng" algn="ctr">
              <a:noFill/>
              <a:round/>
            </a:ln>
            <a:effectLst/>
          </c:spPr>
        </c:majorGridlines>
        <c:numFmt formatCode="\$0.00,\k" sourceLinked="1"/>
        <c:majorTickMark val="none"/>
        <c:minorTickMark val="none"/>
        <c:tickLblPos val="nextTo"/>
        <c:crossAx val="1290831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Dashboard.xlsx]ANALYSIS!PivotTable6</c:name>
    <c:fmtId val="1"/>
  </c:pivotSource>
  <c:chart>
    <c:autoTitleDeleted val="1"/>
    <c:pivotFmts>
      <c:pivotFmt>
        <c:idx val="0"/>
        <c:spPr>
          <a:solidFill>
            <a:schemeClr val="accent6"/>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ANALYSIS!$B$13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ANALYSIS!$A$14:$A$19</c:f>
              <c:strCache>
                <c:ptCount val="6"/>
                <c:pt idx="0">
                  <c:v>Alvin Wilson</c:v>
                </c:pt>
                <c:pt idx="1">
                  <c:v>Janet Leverling</c:v>
                </c:pt>
                <c:pt idx="2">
                  <c:v>Margaret Peacock</c:v>
                </c:pt>
                <c:pt idx="3">
                  <c:v>Michael Suyama</c:v>
                </c:pt>
                <c:pt idx="4">
                  <c:v>Nancy Davolio</c:v>
                </c:pt>
                <c:pt idx="5">
                  <c:v>Smith Peterson </c:v>
                </c:pt>
              </c:strCache>
            </c:strRef>
          </c:cat>
          <c:val>
            <c:numRef>
              <c:f>ANALYSIS!$B$14:$B$19</c:f>
              <c:numCache>
                <c:formatCode>\$0.00,\k</c:formatCode>
                <c:ptCount val="6"/>
                <c:pt idx="0">
                  <c:v>1620</c:v>
                </c:pt>
                <c:pt idx="1">
                  <c:v>6910</c:v>
                </c:pt>
                <c:pt idx="2">
                  <c:v>10164</c:v>
                </c:pt>
                <c:pt idx="3">
                  <c:v>2920</c:v>
                </c:pt>
                <c:pt idx="4">
                  <c:v>2800</c:v>
                </c:pt>
                <c:pt idx="5">
                  <c:v>2500</c:v>
                </c:pt>
              </c:numCache>
            </c:numRef>
          </c:val>
        </c:ser>
        <c:dLbls>
          <c:showLegendKey val="0"/>
          <c:showVal val="1"/>
          <c:showCatName val="0"/>
          <c:showSerName val="0"/>
          <c:showPercent val="0"/>
          <c:showBubbleSize val="0"/>
        </c:dLbls>
        <c:gapWidth val="79"/>
        <c:shape val="box"/>
        <c:axId val="1199384848"/>
        <c:axId val="1199389200"/>
        <c:axId val="0"/>
      </c:bar3DChart>
      <c:catAx>
        <c:axId val="119938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99389200"/>
        <c:crosses val="autoZero"/>
        <c:auto val="1"/>
        <c:lblAlgn val="ctr"/>
        <c:lblOffset val="100"/>
        <c:noMultiLvlLbl val="0"/>
      </c:catAx>
      <c:valAx>
        <c:axId val="1199389200"/>
        <c:scaling>
          <c:orientation val="minMax"/>
        </c:scaling>
        <c:delete val="1"/>
        <c:axPos val="b"/>
        <c:numFmt formatCode="\$0.00,\k" sourceLinked="1"/>
        <c:majorTickMark val="none"/>
        <c:minorTickMark val="none"/>
        <c:tickLblPos val="nextTo"/>
        <c:crossAx val="1199384848"/>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Dashboard.xlsx]ANALYSIS!PivotTable9</c:name>
    <c:fmtId val="8"/>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c:spPr>
      </c:pivotFmt>
      <c:pivotFmt>
        <c:idx val="9"/>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pivotFmt>
      <c:pivotFmt>
        <c:idx val="12"/>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c:spPr>
      </c:pivotFmt>
    </c:pivotFmts>
    <c:plotArea>
      <c:layout/>
      <c:doughnutChart>
        <c:varyColors val="1"/>
        <c:ser>
          <c:idx val="0"/>
          <c:order val="0"/>
          <c:tx>
            <c:strRef>
              <c:f>ANALYSIS!$B$49</c:f>
              <c:strCache>
                <c:ptCount val="1"/>
                <c:pt idx="0">
                  <c:v>Total</c:v>
                </c:pt>
              </c:strCache>
            </c:strRef>
          </c:tx>
          <c:dPt>
            <c:idx val="0"/>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c:spPr>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3"/>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dPt>
          <c:dPt>
            <c:idx val="4"/>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ANALYSIS!$A$50:$A$54</c:f>
              <c:strCache>
                <c:ptCount val="5"/>
                <c:pt idx="0">
                  <c:v>Alpha Supermart</c:v>
                </c:pt>
                <c:pt idx="1">
                  <c:v>GlobalIT</c:v>
                </c:pt>
                <c:pt idx="2">
                  <c:v>Lifeline Health Centre </c:v>
                </c:pt>
                <c:pt idx="3">
                  <c:v>Mac Healthcare</c:v>
                </c:pt>
                <c:pt idx="4">
                  <c:v>Rox Luxurious Hotel</c:v>
                </c:pt>
              </c:strCache>
            </c:strRef>
          </c:cat>
          <c:val>
            <c:numRef>
              <c:f>ANALYSIS!$B$50:$B$54</c:f>
              <c:numCache>
                <c:formatCode>\$0.00,\k</c:formatCode>
                <c:ptCount val="5"/>
                <c:pt idx="0">
                  <c:v>3120</c:v>
                </c:pt>
                <c:pt idx="1">
                  <c:v>4700</c:v>
                </c:pt>
                <c:pt idx="2">
                  <c:v>10014</c:v>
                </c:pt>
                <c:pt idx="3">
                  <c:v>3400</c:v>
                </c:pt>
                <c:pt idx="4">
                  <c:v>5680</c:v>
                </c:pt>
              </c:numCache>
            </c:numRef>
          </c:val>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70900831146106735"/>
          <c:y val="0.23401574803149605"/>
          <c:w val="0.29099168853893265"/>
          <c:h val="0.43267898804316129"/>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accent6">
                  <a:lumMod val="75000"/>
                </a:schemeClr>
              </a:solidFill>
              <a:latin typeface="+mn-lt"/>
              <a:ea typeface="+mn-ea"/>
              <a:cs typeface="+mn-cs"/>
            </a:defRPr>
          </a:pPr>
          <a:endParaRPr lang="en-US"/>
        </a:p>
      </c:txPr>
    </c:legend>
    <c:plotVisOnly val="1"/>
    <c:dispBlanksAs val="gap"/>
    <c:showDLblsOverMax val="0"/>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Dashboard.xlsx]ANALYSIS!PivotTable8</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6">
                <a:lumMod val="75000"/>
              </a:schemeClr>
            </a:solidFill>
            <a:round/>
          </a:ln>
          <a:effectLst/>
        </c:spPr>
        <c:marker>
          <c:symbol val="circle"/>
          <c:size val="5"/>
          <c:spPr>
            <a:solidFill>
              <a:schemeClr val="accent6">
                <a:lumMod val="40000"/>
                <a:lumOff val="60000"/>
              </a:schemeClr>
            </a:solidFill>
            <a:ln w="9525">
              <a:solidFill>
                <a:schemeClr val="accent1"/>
              </a:solidFill>
            </a:ln>
            <a:effectLst/>
          </c:spPr>
        </c:marker>
        <c:dLbl>
          <c:idx val="0"/>
          <c:layout/>
          <c:spPr>
            <a:solidFill>
              <a:schemeClr val="accent6">
                <a:lumMod val="40000"/>
                <a:lumOff val="60000"/>
              </a:schemeClr>
            </a:solidFill>
            <a:ln>
              <a:noFill/>
            </a:ln>
            <a:effectLst/>
          </c:spPr>
          <c:txPr>
            <a:bodyPr rot="-5400000" spcFirstLastPara="1" vertOverflow="ellipsis" wrap="square" lIns="38100" tIns="19050" rIns="38100" bIns="19050" anchor="ctr" anchorCtr="0">
              <a:spAutoFit/>
            </a:bodyPr>
            <a:lstStyle/>
            <a:p>
              <a:pPr algn="r">
                <a:defRPr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ln w="28575" cap="rnd">
            <a:solidFill>
              <a:schemeClr val="accent6">
                <a:lumMod val="75000"/>
              </a:schemeClr>
            </a:solidFill>
            <a:round/>
          </a:ln>
          <a:effectLst/>
        </c:spPr>
        <c:marker>
          <c:symbol val="circle"/>
          <c:size val="5"/>
        </c:marker>
        <c:dLbl>
          <c:idx val="0"/>
          <c:layout>
            <c:manualLayout>
              <c:x val="-3.375276619834286E-2"/>
              <c:y val="-0.15250544662309368"/>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28575" cap="rnd">
            <a:solidFill>
              <a:schemeClr val="accent6">
                <a:lumMod val="75000"/>
              </a:schemeClr>
            </a:solidFill>
            <a:round/>
          </a:ln>
          <a:effectLst/>
        </c:spPr>
        <c:marker>
          <c:symbol val="circle"/>
          <c:size val="5"/>
        </c:marker>
        <c:dLbl>
          <c:idx val="0"/>
          <c:layout>
            <c:manualLayout>
              <c:x val="-1.8502221536033488E-2"/>
              <c:y val="-0.17973856209150338"/>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6">
                <a:lumMod val="75000"/>
              </a:schemeClr>
            </a:solidFill>
            <a:round/>
          </a:ln>
          <a:effectLst/>
        </c:spPr>
        <c:marker>
          <c:symbol val="circle"/>
          <c:size val="5"/>
        </c:marker>
        <c:dLbl>
          <c:idx val="0"/>
          <c:layout>
            <c:manualLayout>
              <c:x val="-2.7216818485924592E-2"/>
              <c:y val="-0.130718954248366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28575" cap="rnd">
            <a:solidFill>
              <a:schemeClr val="accent6">
                <a:lumMod val="75000"/>
              </a:schemeClr>
            </a:solidFill>
            <a:round/>
          </a:ln>
          <a:effectLst/>
        </c:spPr>
        <c:marker>
          <c:symbol val="circle"/>
          <c:size val="5"/>
        </c:marker>
        <c:dLbl>
          <c:idx val="0"/>
          <c:layout>
            <c:manualLayout>
              <c:x val="-2.7216818485924592E-2"/>
              <c:y val="-0.13616557734204793"/>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chemeClr val="accent6">
                <a:lumMod val="75000"/>
              </a:schemeClr>
            </a:solidFill>
            <a:round/>
          </a:ln>
          <a:effectLst/>
        </c:spPr>
        <c:marker>
          <c:symbol val="circle"/>
          <c:size val="5"/>
        </c:marker>
        <c:dLbl>
          <c:idx val="0"/>
          <c:layout>
            <c:manualLayout>
              <c:x val="-2.7216818485924554E-2"/>
              <c:y val="-0.1143790849673203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28575" cap="rnd">
            <a:solidFill>
              <a:schemeClr val="accent6">
                <a:lumMod val="75000"/>
              </a:schemeClr>
            </a:solidFill>
            <a:round/>
          </a:ln>
          <a:effectLst/>
        </c:spPr>
        <c:marker>
          <c:symbol val="circle"/>
          <c:size val="5"/>
        </c:marker>
        <c:dLbl>
          <c:idx val="0"/>
          <c:layout>
            <c:manualLayout>
              <c:x val="-2.5038169248451786E-2"/>
              <c:y val="-0.14705882352941177"/>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ln w="28575" cap="rnd">
            <a:solidFill>
              <a:schemeClr val="accent6">
                <a:lumMod val="75000"/>
              </a:schemeClr>
            </a:solidFill>
            <a:round/>
          </a:ln>
          <a:effectLst/>
        </c:spPr>
        <c:marker>
          <c:symbol val="circle"/>
          <c:size val="5"/>
        </c:marker>
        <c:dLbl>
          <c:idx val="0"/>
          <c:layout>
            <c:manualLayout>
              <c:x val="-2.7216818485924634E-2"/>
              <c:y val="-9.8039215686274508E-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ln w="28575" cap="rnd">
            <a:solidFill>
              <a:schemeClr val="accent6">
                <a:lumMod val="75000"/>
              </a:schemeClr>
            </a:solidFill>
            <a:round/>
          </a:ln>
          <a:effectLst/>
        </c:spPr>
        <c:marker>
          <c:symbol val="circle"/>
          <c:size val="5"/>
        </c:marker>
        <c:dLbl>
          <c:idx val="0"/>
          <c:layout>
            <c:manualLayout>
              <c:x val="-2.7216818485924554E-2"/>
              <c:y val="-0.14705882352941166"/>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ln w="28575" cap="rnd">
            <a:solidFill>
              <a:schemeClr val="accent6">
                <a:lumMod val="75000"/>
              </a:schemeClr>
            </a:solidFill>
            <a:round/>
          </a:ln>
          <a:effectLst/>
        </c:spPr>
        <c:marker>
          <c:symbol val="circle"/>
          <c:size val="5"/>
        </c:marker>
        <c:dLbl>
          <c:idx val="0"/>
          <c:layout>
            <c:manualLayout>
              <c:x val="-2.7216818485924554E-2"/>
              <c:y val="-0.14161220043572983"/>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ln w="28575" cap="rnd">
            <a:solidFill>
              <a:schemeClr val="accent6">
                <a:lumMod val="75000"/>
              </a:schemeClr>
            </a:solidFill>
            <a:round/>
          </a:ln>
          <a:effectLst/>
        </c:spPr>
        <c:marker>
          <c:symbol val="circle"/>
          <c:size val="5"/>
        </c:marker>
        <c:dLbl>
          <c:idx val="0"/>
          <c:layout>
            <c:manualLayout>
              <c:x val="-2.7216818485924554E-2"/>
              <c:y val="-0.11982570806100218"/>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ln w="28575" cap="rnd">
            <a:solidFill>
              <a:schemeClr val="accent6">
                <a:lumMod val="75000"/>
              </a:schemeClr>
            </a:solidFill>
            <a:round/>
          </a:ln>
          <a:effectLst/>
        </c:spPr>
        <c:marker>
          <c:symbol val="circle"/>
          <c:size val="5"/>
        </c:marker>
        <c:dLbl>
          <c:idx val="0"/>
          <c:layout>
            <c:manualLayout>
              <c:x val="-2.7216818485924554E-2"/>
              <c:y val="-0.13071895424836591"/>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ln w="28575" cap="rnd">
            <a:solidFill>
              <a:schemeClr val="accent6">
                <a:lumMod val="75000"/>
              </a:schemeClr>
            </a:solidFill>
            <a:round/>
          </a:ln>
          <a:effectLst/>
        </c:spPr>
        <c:marker>
          <c:symbol val="circle"/>
          <c:size val="5"/>
        </c:marker>
        <c:dLbl>
          <c:idx val="0"/>
          <c:layout>
            <c:manualLayout>
              <c:x val="-2.9395467723397479E-2"/>
              <c:y val="-0.11982570806100208"/>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ln w="28575" cap="rnd">
            <a:solidFill>
              <a:schemeClr val="accent6">
                <a:lumMod val="75000"/>
              </a:schemeClr>
            </a:solidFill>
            <a:round/>
          </a:ln>
          <a:effectLst/>
        </c:spPr>
        <c:marker>
          <c:symbol val="circle"/>
          <c:size val="5"/>
          <c:spPr>
            <a:solidFill>
              <a:schemeClr val="accent6">
                <a:lumMod val="40000"/>
                <a:lumOff val="60000"/>
              </a:schemeClr>
            </a:solidFill>
            <a:ln w="9525">
              <a:solidFill>
                <a:schemeClr val="accent1"/>
              </a:solidFill>
            </a:ln>
            <a:effectLst/>
          </c:spPr>
        </c:marker>
        <c:dLbl>
          <c:idx val="0"/>
          <c:layout>
            <c:manualLayout>
              <c:x val="-4.4646012385706688E-2"/>
              <c:y val="-3.30961693513801E-2"/>
            </c:manualLayout>
          </c:layout>
          <c:spPr>
            <a:solidFill>
              <a:schemeClr val="accent6">
                <a:lumMod val="40000"/>
                <a:lumOff val="60000"/>
              </a:schemeClr>
            </a:solidFill>
            <a:ln>
              <a:noFill/>
            </a:ln>
            <a:effectLst/>
          </c:spPr>
          <c:txPr>
            <a:bodyPr rot="-5400000" spcFirstLastPara="1" vertOverflow="ellipsis" wrap="square" lIns="38100" tIns="19050" rIns="38100" bIns="19050" anchor="ctr" anchorCtr="0">
              <a:spAutoFit/>
            </a:bodyPr>
            <a:lstStyle/>
            <a:p>
              <a:pPr algn="r">
                <a:defRPr sz="1000" b="0"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ln w="28575" cap="rnd">
            <a:solidFill>
              <a:schemeClr val="accent6">
                <a:lumMod val="75000"/>
              </a:schemeClr>
            </a:solidFill>
            <a:round/>
          </a:ln>
          <a:effectLst/>
        </c:spPr>
        <c:marker>
          <c:symbol val="circle"/>
          <c:size val="5"/>
          <c:spPr>
            <a:solidFill>
              <a:schemeClr val="accent6">
                <a:lumMod val="40000"/>
                <a:lumOff val="60000"/>
              </a:schemeClr>
            </a:solidFill>
            <a:ln w="9525">
              <a:solidFill>
                <a:schemeClr val="accent1"/>
              </a:solidFill>
            </a:ln>
            <a:effectLst/>
          </c:spPr>
        </c:marker>
        <c:dLbl>
          <c:idx val="0"/>
          <c:layout>
            <c:manualLayout>
              <c:x val="-9.7876245861424193E-3"/>
              <c:y val="-0.22331154684095861"/>
            </c:manualLayout>
          </c:layout>
          <c:spPr>
            <a:solidFill>
              <a:schemeClr val="accent6">
                <a:lumMod val="40000"/>
                <a:lumOff val="60000"/>
              </a:schemeClr>
            </a:solidFill>
            <a:ln>
              <a:noFill/>
            </a:ln>
            <a:effectLst/>
          </c:spPr>
          <c:txPr>
            <a:bodyPr rot="-5400000" spcFirstLastPara="1" vertOverflow="ellipsis" wrap="square" lIns="38100" tIns="19050" rIns="38100" bIns="19050" anchor="ctr" anchorCtr="0">
              <a:spAutoFit/>
            </a:bodyPr>
            <a:lstStyle/>
            <a:p>
              <a:pPr algn="r">
                <a:defRPr sz="1000" b="0"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ln w="28575" cap="rnd">
            <a:solidFill>
              <a:schemeClr val="accent6">
                <a:lumMod val="75000"/>
              </a:schemeClr>
            </a:solidFill>
            <a:round/>
          </a:ln>
          <a:effectLst/>
        </c:spPr>
        <c:marker>
          <c:symbol val="circle"/>
          <c:size val="5"/>
          <c:spPr>
            <a:solidFill>
              <a:schemeClr val="accent6">
                <a:lumMod val="40000"/>
                <a:lumOff val="60000"/>
              </a:schemeClr>
            </a:solidFill>
            <a:ln w="9525">
              <a:solidFill>
                <a:schemeClr val="accent1"/>
              </a:solidFill>
            </a:ln>
            <a:effectLst/>
          </c:spPr>
        </c:marker>
        <c:dLbl>
          <c:idx val="0"/>
          <c:layout>
            <c:manualLayout>
              <c:x val="-2.5038169248451786E-2"/>
              <c:y val="-8.1699346405228856E-2"/>
            </c:manualLayout>
          </c:layout>
          <c:spPr>
            <a:solidFill>
              <a:schemeClr val="accent6">
                <a:lumMod val="40000"/>
                <a:lumOff val="60000"/>
              </a:schemeClr>
            </a:solidFill>
            <a:ln>
              <a:noFill/>
            </a:ln>
            <a:effectLst/>
          </c:spPr>
          <c:txPr>
            <a:bodyPr rot="-5400000" spcFirstLastPara="1" vertOverflow="ellipsis" wrap="square" lIns="38100" tIns="19050" rIns="38100" bIns="19050" anchor="ctr" anchorCtr="0">
              <a:spAutoFit/>
            </a:bodyPr>
            <a:lstStyle/>
            <a:p>
              <a:pPr algn="r">
                <a:defRPr sz="1000" b="0"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ln w="28575" cap="rnd">
            <a:solidFill>
              <a:schemeClr val="accent6">
                <a:lumMod val="75000"/>
              </a:schemeClr>
            </a:solidFill>
            <a:round/>
          </a:ln>
          <a:effectLst/>
        </c:spPr>
        <c:marker>
          <c:symbol val="circle"/>
          <c:size val="5"/>
          <c:spPr>
            <a:solidFill>
              <a:schemeClr val="accent6">
                <a:lumMod val="40000"/>
                <a:lumOff val="60000"/>
              </a:schemeClr>
            </a:solidFill>
            <a:ln w="9525">
              <a:solidFill>
                <a:schemeClr val="accent1"/>
              </a:solidFill>
            </a:ln>
            <a:effectLst/>
          </c:spPr>
        </c:marker>
        <c:dLbl>
          <c:idx val="0"/>
          <c:layout>
            <c:manualLayout>
              <c:x val="-2.5038169248451828E-2"/>
              <c:y val="-0.11982570806100228"/>
            </c:manualLayout>
          </c:layout>
          <c:spPr>
            <a:solidFill>
              <a:schemeClr val="accent6">
                <a:lumMod val="40000"/>
                <a:lumOff val="60000"/>
              </a:schemeClr>
            </a:solidFill>
            <a:ln>
              <a:noFill/>
            </a:ln>
            <a:effectLst/>
          </c:spPr>
          <c:txPr>
            <a:bodyPr rot="-5400000" spcFirstLastPara="1" vertOverflow="ellipsis" wrap="square" lIns="38100" tIns="19050" rIns="38100" bIns="19050" anchor="ctr" anchorCtr="0">
              <a:spAutoFit/>
            </a:bodyPr>
            <a:lstStyle/>
            <a:p>
              <a:pPr algn="r">
                <a:defRPr sz="1000" b="0"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ln w="28575" cap="rnd">
            <a:solidFill>
              <a:schemeClr val="accent6">
                <a:lumMod val="75000"/>
              </a:schemeClr>
            </a:solidFill>
            <a:round/>
          </a:ln>
          <a:effectLst/>
        </c:spPr>
        <c:marker>
          <c:symbol val="circle"/>
          <c:size val="5"/>
          <c:spPr>
            <a:solidFill>
              <a:schemeClr val="accent6">
                <a:lumMod val="40000"/>
                <a:lumOff val="60000"/>
              </a:schemeClr>
            </a:solidFill>
            <a:ln w="9525">
              <a:solidFill>
                <a:schemeClr val="accent1"/>
              </a:solidFill>
            </a:ln>
            <a:effectLst/>
          </c:spPr>
        </c:marker>
        <c:dLbl>
          <c:idx val="0"/>
          <c:layout>
            <c:manualLayout>
              <c:x val="-2.0680870773506253E-2"/>
              <c:y val="-8.1699346405228759E-2"/>
            </c:manualLayout>
          </c:layout>
          <c:spPr>
            <a:solidFill>
              <a:schemeClr val="accent6">
                <a:lumMod val="40000"/>
                <a:lumOff val="60000"/>
              </a:schemeClr>
            </a:solidFill>
            <a:ln>
              <a:noFill/>
            </a:ln>
            <a:effectLst/>
          </c:spPr>
          <c:txPr>
            <a:bodyPr rot="-5400000" spcFirstLastPara="1" vertOverflow="ellipsis" wrap="square" lIns="38100" tIns="19050" rIns="38100" bIns="19050" anchor="ctr" anchorCtr="0">
              <a:spAutoFit/>
            </a:bodyPr>
            <a:lstStyle/>
            <a:p>
              <a:pPr algn="r">
                <a:defRPr sz="1000" b="0"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ln w="28575" cap="rnd">
            <a:solidFill>
              <a:schemeClr val="accent6">
                <a:lumMod val="75000"/>
              </a:schemeClr>
            </a:solidFill>
            <a:round/>
          </a:ln>
          <a:effectLst/>
        </c:spPr>
        <c:marker>
          <c:symbol val="circle"/>
          <c:size val="5"/>
          <c:spPr>
            <a:solidFill>
              <a:schemeClr val="accent6">
                <a:lumMod val="40000"/>
                <a:lumOff val="60000"/>
              </a:schemeClr>
            </a:solidFill>
            <a:ln w="9525">
              <a:solidFill>
                <a:schemeClr val="accent1"/>
              </a:solidFill>
            </a:ln>
            <a:effectLst/>
          </c:spPr>
        </c:marker>
        <c:dLbl>
          <c:idx val="0"/>
          <c:layout>
            <c:manualLayout>
              <c:x val="-9.7876245861424193E-3"/>
              <c:y val="-0.10893246187363835"/>
            </c:manualLayout>
          </c:layout>
          <c:spPr>
            <a:solidFill>
              <a:schemeClr val="accent6">
                <a:lumMod val="40000"/>
                <a:lumOff val="60000"/>
              </a:schemeClr>
            </a:solidFill>
            <a:ln>
              <a:noFill/>
            </a:ln>
            <a:effectLst/>
          </c:spPr>
          <c:txPr>
            <a:bodyPr rot="-5400000" spcFirstLastPara="1" vertOverflow="ellipsis" wrap="square" lIns="38100" tIns="19050" rIns="38100" bIns="19050" anchor="ctr" anchorCtr="0">
              <a:spAutoFit/>
            </a:bodyPr>
            <a:lstStyle/>
            <a:p>
              <a:pPr algn="r">
                <a:defRPr sz="1000" b="0"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ln w="28575" cap="rnd">
            <a:solidFill>
              <a:schemeClr val="accent6">
                <a:lumMod val="75000"/>
              </a:schemeClr>
            </a:solidFill>
            <a:round/>
          </a:ln>
          <a:effectLst/>
        </c:spPr>
        <c:marker>
          <c:symbol val="circle"/>
          <c:size val="5"/>
          <c:spPr>
            <a:solidFill>
              <a:schemeClr val="accent6">
                <a:lumMod val="40000"/>
                <a:lumOff val="60000"/>
              </a:schemeClr>
            </a:solidFill>
            <a:ln w="9525">
              <a:solidFill>
                <a:schemeClr val="accent1"/>
              </a:solidFill>
            </a:ln>
            <a:effectLst/>
          </c:spPr>
        </c:marker>
        <c:dLbl>
          <c:idx val="0"/>
          <c:layout>
            <c:manualLayout>
              <c:x val="-2.5038169248451866E-2"/>
              <c:y val="-9.8039215686274508E-2"/>
            </c:manualLayout>
          </c:layout>
          <c:spPr>
            <a:solidFill>
              <a:schemeClr val="accent6">
                <a:lumMod val="40000"/>
                <a:lumOff val="60000"/>
              </a:schemeClr>
            </a:solidFill>
            <a:ln>
              <a:noFill/>
            </a:ln>
            <a:effectLst/>
          </c:spPr>
          <c:txPr>
            <a:bodyPr rot="-5400000" spcFirstLastPara="1" vertOverflow="ellipsis" wrap="square" lIns="38100" tIns="19050" rIns="38100" bIns="19050" anchor="ctr" anchorCtr="0">
              <a:spAutoFit/>
            </a:bodyPr>
            <a:lstStyle/>
            <a:p>
              <a:pPr algn="r">
                <a:defRPr sz="1000" b="0"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ln w="28575" cap="rnd">
            <a:solidFill>
              <a:schemeClr val="accent6">
                <a:lumMod val="75000"/>
              </a:schemeClr>
            </a:solidFill>
            <a:round/>
          </a:ln>
          <a:effectLst/>
        </c:spPr>
        <c:marker>
          <c:symbol val="circle"/>
          <c:size val="5"/>
          <c:spPr>
            <a:solidFill>
              <a:schemeClr val="accent6">
                <a:lumMod val="40000"/>
                <a:lumOff val="60000"/>
              </a:schemeClr>
            </a:solidFill>
            <a:ln w="9525">
              <a:solidFill>
                <a:schemeClr val="accent1"/>
              </a:solidFill>
            </a:ln>
            <a:effectLst/>
          </c:spPr>
        </c:marker>
        <c:dLbl>
          <c:idx val="0"/>
          <c:layout>
            <c:manualLayout>
              <c:x val="-2.7216818485924554E-2"/>
              <c:y val="-0.11437908496732035"/>
            </c:manualLayout>
          </c:layout>
          <c:spPr>
            <a:solidFill>
              <a:schemeClr val="accent6">
                <a:lumMod val="40000"/>
                <a:lumOff val="60000"/>
              </a:schemeClr>
            </a:solidFill>
            <a:ln>
              <a:noFill/>
            </a:ln>
            <a:effectLst/>
          </c:spPr>
          <c:txPr>
            <a:bodyPr rot="-5400000" spcFirstLastPara="1" vertOverflow="ellipsis" wrap="square" lIns="38100" tIns="19050" rIns="38100" bIns="19050" anchor="ctr" anchorCtr="0">
              <a:spAutoFit/>
            </a:bodyPr>
            <a:lstStyle/>
            <a:p>
              <a:pPr algn="r">
                <a:defRPr sz="1000" b="0"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ln w="28575" cap="rnd">
            <a:solidFill>
              <a:schemeClr val="accent6">
                <a:lumMod val="75000"/>
              </a:schemeClr>
            </a:solidFill>
            <a:round/>
          </a:ln>
          <a:effectLst/>
        </c:spPr>
        <c:marker>
          <c:symbol val="circle"/>
          <c:size val="5"/>
          <c:spPr>
            <a:solidFill>
              <a:schemeClr val="accent6">
                <a:lumMod val="40000"/>
                <a:lumOff val="60000"/>
              </a:schemeClr>
            </a:solidFill>
            <a:ln w="9525">
              <a:solidFill>
                <a:schemeClr val="accent1"/>
              </a:solidFill>
            </a:ln>
            <a:effectLst/>
          </c:spPr>
        </c:marker>
        <c:dLbl>
          <c:idx val="0"/>
          <c:layout>
            <c:manualLayout>
              <c:x val="-2.7216818485924554E-2"/>
              <c:y val="-0.11982570806100218"/>
            </c:manualLayout>
          </c:layout>
          <c:spPr>
            <a:solidFill>
              <a:schemeClr val="accent6">
                <a:lumMod val="40000"/>
                <a:lumOff val="60000"/>
              </a:schemeClr>
            </a:solidFill>
            <a:ln>
              <a:noFill/>
            </a:ln>
            <a:effectLst/>
          </c:spPr>
          <c:txPr>
            <a:bodyPr rot="-5400000" spcFirstLastPara="1" vertOverflow="ellipsis" wrap="square" lIns="38100" tIns="19050" rIns="38100" bIns="19050" anchor="ctr" anchorCtr="0">
              <a:spAutoFit/>
            </a:bodyPr>
            <a:lstStyle/>
            <a:p>
              <a:pPr algn="r">
                <a:defRPr sz="1000" b="0"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ln w="28575" cap="rnd">
            <a:solidFill>
              <a:schemeClr val="accent6">
                <a:lumMod val="75000"/>
              </a:schemeClr>
            </a:solidFill>
            <a:round/>
          </a:ln>
          <a:effectLst/>
        </c:spPr>
        <c:marker>
          <c:symbol val="circle"/>
          <c:size val="5"/>
          <c:spPr>
            <a:solidFill>
              <a:schemeClr val="accent6">
                <a:lumMod val="40000"/>
                <a:lumOff val="60000"/>
              </a:schemeClr>
            </a:solidFill>
            <a:ln w="9525">
              <a:solidFill>
                <a:schemeClr val="accent1"/>
              </a:solidFill>
            </a:ln>
            <a:effectLst/>
          </c:spPr>
        </c:marker>
        <c:dLbl>
          <c:idx val="0"/>
          <c:layout>
            <c:manualLayout>
              <c:x val="-2.7216818485924554E-2"/>
              <c:y val="-0.11437908496732026"/>
            </c:manualLayout>
          </c:layout>
          <c:spPr>
            <a:solidFill>
              <a:schemeClr val="accent6">
                <a:lumMod val="40000"/>
                <a:lumOff val="60000"/>
              </a:schemeClr>
            </a:solidFill>
            <a:ln>
              <a:noFill/>
            </a:ln>
            <a:effectLst/>
          </c:spPr>
          <c:txPr>
            <a:bodyPr rot="-5400000" spcFirstLastPara="1" vertOverflow="ellipsis" wrap="square" lIns="38100" tIns="19050" rIns="38100" bIns="19050" anchor="ctr" anchorCtr="0">
              <a:spAutoFit/>
            </a:bodyPr>
            <a:lstStyle/>
            <a:p>
              <a:pPr algn="r">
                <a:defRPr sz="1000" b="0"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ln w="28575" cap="rnd">
            <a:solidFill>
              <a:schemeClr val="accent6">
                <a:lumMod val="75000"/>
              </a:schemeClr>
            </a:solidFill>
            <a:round/>
          </a:ln>
          <a:effectLst/>
        </c:spPr>
        <c:marker>
          <c:symbol val="circle"/>
          <c:size val="5"/>
          <c:spPr>
            <a:solidFill>
              <a:schemeClr val="accent6">
                <a:lumMod val="40000"/>
                <a:lumOff val="60000"/>
              </a:schemeClr>
            </a:solidFill>
            <a:ln w="9525">
              <a:solidFill>
                <a:schemeClr val="accent1"/>
              </a:solidFill>
            </a:ln>
            <a:effectLst/>
          </c:spPr>
        </c:marker>
        <c:dLbl>
          <c:idx val="0"/>
          <c:layout>
            <c:manualLayout>
              <c:x val="-2.7216818485924554E-2"/>
              <c:y val="-9.8039215686274411E-2"/>
            </c:manualLayout>
          </c:layout>
          <c:spPr>
            <a:solidFill>
              <a:schemeClr val="accent6">
                <a:lumMod val="40000"/>
                <a:lumOff val="60000"/>
              </a:schemeClr>
            </a:solidFill>
            <a:ln>
              <a:noFill/>
            </a:ln>
            <a:effectLst/>
          </c:spPr>
          <c:txPr>
            <a:bodyPr rot="-5400000" spcFirstLastPara="1" vertOverflow="ellipsis" wrap="square" lIns="38100" tIns="19050" rIns="38100" bIns="19050" anchor="ctr" anchorCtr="0">
              <a:spAutoFit/>
            </a:bodyPr>
            <a:lstStyle/>
            <a:p>
              <a:pPr algn="r">
                <a:defRPr sz="1000" b="0"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ln w="28575" cap="rnd">
            <a:solidFill>
              <a:schemeClr val="accent6">
                <a:lumMod val="75000"/>
              </a:schemeClr>
            </a:solidFill>
            <a:round/>
          </a:ln>
          <a:effectLst/>
        </c:spPr>
        <c:marker>
          <c:symbol val="circle"/>
          <c:size val="5"/>
          <c:spPr>
            <a:solidFill>
              <a:schemeClr val="accent6">
                <a:lumMod val="40000"/>
                <a:lumOff val="60000"/>
              </a:schemeClr>
            </a:solidFill>
            <a:ln w="9525">
              <a:solidFill>
                <a:schemeClr val="accent1"/>
              </a:solidFill>
            </a:ln>
            <a:effectLst/>
          </c:spPr>
        </c:marker>
        <c:dLbl>
          <c:idx val="0"/>
          <c:layout>
            <c:manualLayout>
              <c:x val="-2.7216818485924554E-2"/>
              <c:y val="-0.13616557734204782"/>
            </c:manualLayout>
          </c:layout>
          <c:spPr>
            <a:solidFill>
              <a:schemeClr val="accent6">
                <a:lumMod val="40000"/>
                <a:lumOff val="60000"/>
              </a:schemeClr>
            </a:solidFill>
            <a:ln>
              <a:noFill/>
            </a:ln>
            <a:effectLst/>
          </c:spPr>
          <c:txPr>
            <a:bodyPr rot="-5400000" spcFirstLastPara="1" vertOverflow="ellipsis" wrap="square" lIns="38100" tIns="19050" rIns="38100" bIns="19050" anchor="ctr" anchorCtr="0">
              <a:spAutoFit/>
            </a:bodyPr>
            <a:lstStyle/>
            <a:p>
              <a:pPr algn="r">
                <a:defRPr sz="1000" b="0" i="0" u="none" strike="noStrike" kern="1200" baseline="0">
                  <a:solidFill>
                    <a:schemeClr val="accent6">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ANALYSIS!$B$34</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40000"/>
                  <a:lumOff val="60000"/>
                </a:schemeClr>
              </a:solidFill>
              <a:ln w="9525">
                <a:solidFill>
                  <a:schemeClr val="accent1"/>
                </a:solidFill>
              </a:ln>
              <a:effectLst/>
            </c:spPr>
          </c:marker>
          <c:dLbls>
            <c:dLbl>
              <c:idx val="0"/>
              <c:layout>
                <c:manualLayout>
                  <c:x val="-4.4646012385706688E-2"/>
                  <c:y val="-3.3096169351380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9.7876245861424193E-3"/>
                  <c:y val="-0.2233115468409586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2.5038169248451786E-2"/>
                  <c:y val="-8.169934640522885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5038169248451828E-2"/>
                  <c:y val="-0.1198257080610022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2.0680870773506253E-2"/>
                  <c:y val="-8.1699346405228759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9.7876245861424193E-3"/>
                  <c:y val="-0.1089324618736383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2.5038169248451866E-2"/>
                  <c:y val="-9.8039215686274508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2.7216818485924554E-2"/>
                  <c:y val="-0.1143790849673203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2.7216818485924554E-2"/>
                  <c:y val="-0.1198257080610021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2.7216818485924554E-2"/>
                  <c:y val="-0.11437908496732026"/>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2.7216818485924554E-2"/>
                  <c:y val="-9.803921568627441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2.7216818485924554E-2"/>
                  <c:y val="-0.1361655773420478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solidFill>
                <a:schemeClr val="accent6">
                  <a:lumMod val="40000"/>
                  <a:lumOff val="60000"/>
                </a:schemeClr>
              </a:solidFill>
              <a:ln>
                <a:noFill/>
              </a:ln>
              <a:effectLst/>
            </c:spPr>
            <c:txPr>
              <a:bodyPr rot="-5400000" spcFirstLastPara="1" vertOverflow="ellipsis" wrap="square" lIns="38100" tIns="19050" rIns="38100" bIns="19050" anchor="ctr" anchorCtr="0">
                <a:spAutoFit/>
              </a:bodyPr>
              <a:lstStyle/>
              <a:p>
                <a:pPr algn="r">
                  <a:defRPr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ANALYSIS!$A$35:$A$46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ANALYSIS!$B$35:$B$46</c:f>
              <c:numCache>
                <c:formatCode>\$0.00,\k</c:formatCode>
                <c:ptCount val="12"/>
                <c:pt idx="0">
                  <c:v>12814</c:v>
                </c:pt>
                <c:pt idx="1">
                  <c:v>240</c:v>
                </c:pt>
                <c:pt idx="2">
                  <c:v>3400</c:v>
                </c:pt>
                <c:pt idx="3">
                  <c:v>1120</c:v>
                </c:pt>
                <c:pt idx="4">
                  <c:v>4960</c:v>
                </c:pt>
                <c:pt idx="5">
                  <c:v>360</c:v>
                </c:pt>
                <c:pt idx="6">
                  <c:v>480</c:v>
                </c:pt>
                <c:pt idx="7">
                  <c:v>640</c:v>
                </c:pt>
                <c:pt idx="8">
                  <c:v>400</c:v>
                </c:pt>
                <c:pt idx="9">
                  <c:v>100</c:v>
                </c:pt>
                <c:pt idx="10">
                  <c:v>1600</c:v>
                </c:pt>
                <c:pt idx="11">
                  <c:v>800</c:v>
                </c:pt>
              </c:numCache>
            </c:numRef>
          </c:val>
          <c:smooth val="0"/>
        </c:ser>
        <c:dLbls>
          <c:dLblPos val="ctr"/>
          <c:showLegendKey val="0"/>
          <c:showVal val="1"/>
          <c:showCatName val="0"/>
          <c:showSerName val="0"/>
          <c:showPercent val="0"/>
          <c:showBubbleSize val="0"/>
        </c:dLbls>
        <c:marker val="1"/>
        <c:smooth val="0"/>
        <c:axId val="1103203312"/>
        <c:axId val="1103204400"/>
      </c:lineChart>
      <c:catAx>
        <c:axId val="1103203312"/>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1000" b="1" i="0" u="none" strike="noStrike" kern="1200" baseline="0">
                <a:solidFill>
                  <a:schemeClr val="accent6">
                    <a:lumMod val="75000"/>
                  </a:schemeClr>
                </a:solidFill>
                <a:latin typeface="+mn-lt"/>
                <a:ea typeface="+mn-ea"/>
                <a:cs typeface="+mn-cs"/>
              </a:defRPr>
            </a:pPr>
            <a:endParaRPr lang="en-US"/>
          </a:p>
        </c:txPr>
        <c:crossAx val="1103204400"/>
        <c:crosses val="autoZero"/>
        <c:auto val="1"/>
        <c:lblAlgn val="ctr"/>
        <c:lblOffset val="100"/>
        <c:noMultiLvlLbl val="0"/>
      </c:catAx>
      <c:valAx>
        <c:axId val="1103204400"/>
        <c:scaling>
          <c:orientation val="minMax"/>
        </c:scaling>
        <c:delete val="1"/>
        <c:axPos val="l"/>
        <c:numFmt formatCode="\$0.00,\k" sourceLinked="1"/>
        <c:majorTickMark val="none"/>
        <c:minorTickMark val="none"/>
        <c:tickLblPos val="nextTo"/>
        <c:crossAx val="1103203312"/>
        <c:crosses val="autoZero"/>
        <c:crossBetween val="between"/>
      </c:valAx>
      <c:spPr>
        <a:noFill/>
        <a:ln>
          <a:noFill/>
        </a:ln>
        <a:effectLst/>
      </c:spPr>
    </c:plotArea>
    <c:plotVisOnly val="1"/>
    <c:dispBlanksAs val="gap"/>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Dashboard.xlsx]ANALYSIS!PivotTable7</c:name>
    <c:fmtId val="2"/>
  </c:pivotSource>
  <c:chart>
    <c:autoTitleDeleted val="1"/>
    <c:pivotFmts>
      <c:pivotFmt>
        <c:idx val="0"/>
        <c:spPr>
          <a:solidFill>
            <a:schemeClr val="accent6"/>
          </a:solidFill>
          <a:ln>
            <a:noFill/>
          </a:ln>
          <a:effectLst/>
          <a:sp3d/>
        </c:spPr>
        <c:marker>
          <c:symbol val="none"/>
        </c:marker>
      </c:pivotFmt>
      <c:pivotFmt>
        <c:idx val="1"/>
        <c:spPr>
          <a:solidFill>
            <a:schemeClr val="accent6"/>
          </a:solidFill>
          <a:ln>
            <a:noFill/>
          </a:ln>
          <a:effectLst/>
          <a:sp3d/>
        </c:spPr>
        <c:marker>
          <c:symbol val="none"/>
        </c:marker>
      </c:pivotFmt>
      <c:pivotFmt>
        <c:idx val="2"/>
        <c:spPr>
          <a:solidFill>
            <a:schemeClr val="accent6"/>
          </a:solidFill>
          <a:ln>
            <a:noFill/>
          </a:ln>
          <a:effectLst/>
          <a:sp3d/>
        </c:spPr>
        <c:marker>
          <c:symbol val="none"/>
        </c:marker>
        <c:dLbl>
          <c:idx val="0"/>
          <c:spPr>
            <a:solidFill>
              <a:srgbClr val="70AD47">
                <a:lumMod val="40000"/>
                <a:lumOff val="60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a:noFill/>
          </a:ln>
          <a:effectLst/>
          <a:sp3d/>
        </c:spPr>
        <c:dLbl>
          <c:idx val="0"/>
          <c:layout>
            <c:manualLayout>
              <c:x val="3.1152647975077738E-3"/>
              <c:y val="-0.11815920398009951"/>
            </c:manualLayout>
          </c:layout>
          <c:spPr>
            <a:solidFill>
              <a:srgbClr val="70AD47">
                <a:lumMod val="40000"/>
                <a:lumOff val="60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4"/>
        <c:spPr>
          <a:solidFill>
            <a:schemeClr val="accent6"/>
          </a:solidFill>
          <a:ln>
            <a:noFill/>
          </a:ln>
          <a:effectLst/>
          <a:sp3d/>
        </c:spPr>
        <c:dLbl>
          <c:idx val="0"/>
          <c:layout>
            <c:manualLayout>
              <c:x val="3.1152647975077595E-3"/>
              <c:y val="-0.15547263681592038"/>
            </c:manualLayout>
          </c:layout>
          <c:spPr>
            <a:solidFill>
              <a:srgbClr val="70AD47">
                <a:lumMod val="40000"/>
                <a:lumOff val="60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5"/>
        <c:spPr>
          <a:solidFill>
            <a:schemeClr val="accent6"/>
          </a:solidFill>
          <a:ln>
            <a:noFill/>
          </a:ln>
          <a:effectLst/>
          <a:sp3d/>
        </c:spPr>
        <c:dLbl>
          <c:idx val="0"/>
          <c:layout>
            <c:manualLayout>
              <c:x val="3.1152647975077313E-3"/>
              <c:y val="-0.17412935323383091"/>
            </c:manualLayout>
          </c:layout>
          <c:spPr>
            <a:solidFill>
              <a:srgbClr val="70AD47">
                <a:lumMod val="40000"/>
                <a:lumOff val="60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6"/>
        <c:spPr>
          <a:solidFill>
            <a:schemeClr val="accent6"/>
          </a:solidFill>
          <a:ln>
            <a:noFill/>
          </a:ln>
          <a:effectLst/>
          <a:sp3d/>
        </c:spPr>
        <c:dLbl>
          <c:idx val="0"/>
          <c:layout>
            <c:manualLayout>
              <c:x val="-5.7112528185510247E-17"/>
              <c:y val="-0.13059701492537318"/>
            </c:manualLayout>
          </c:layout>
          <c:spPr>
            <a:solidFill>
              <a:srgbClr val="70AD47">
                <a:lumMod val="40000"/>
                <a:lumOff val="60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chemeClr val="accent6"/>
          </a:solidFill>
          <a:ln>
            <a:noFill/>
          </a:ln>
          <a:effectLst/>
          <a:sp3d/>
        </c:spPr>
        <c:dLbl>
          <c:idx val="0"/>
          <c:layout>
            <c:manualLayout>
              <c:x val="3.1152647975077881E-3"/>
              <c:y val="-0.28606965174129351"/>
            </c:manualLayout>
          </c:layout>
          <c:spPr>
            <a:solidFill>
              <a:srgbClr val="70AD47">
                <a:lumMod val="40000"/>
                <a:lumOff val="60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solidFill>
            <a:schemeClr val="accent6"/>
          </a:solidFill>
          <a:ln>
            <a:noFill/>
          </a:ln>
          <a:effectLst/>
          <a:sp3d/>
        </c:spPr>
        <c:dLbl>
          <c:idx val="0"/>
          <c:layout>
            <c:manualLayout>
              <c:x val="6.2305295950154625E-3"/>
              <c:y val="-0.16791044776119404"/>
            </c:manualLayout>
          </c:layout>
          <c:spPr>
            <a:solidFill>
              <a:srgbClr val="70AD47">
                <a:lumMod val="40000"/>
                <a:lumOff val="60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9"/>
        <c:spPr>
          <a:solidFill>
            <a:schemeClr val="accent6"/>
          </a:solidFill>
          <a:ln>
            <a:noFill/>
          </a:ln>
          <a:effectLst/>
          <a:sp3d/>
        </c:spPr>
        <c:dLbl>
          <c:idx val="0"/>
          <c:layout>
            <c:manualLayout>
              <c:x val="3.1152647975077881E-3"/>
              <c:y val="-0.14925373134328365"/>
            </c:manualLayout>
          </c:layout>
          <c:spPr>
            <a:solidFill>
              <a:srgbClr val="70AD47">
                <a:lumMod val="40000"/>
                <a:lumOff val="60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593984962406013E-2"/>
          <c:y val="0.1887169046834925"/>
          <c:w val="0.93107769423558895"/>
          <c:h val="0.5325898426194825"/>
        </c:manualLayout>
      </c:layout>
      <c:bar3DChart>
        <c:barDir val="col"/>
        <c:grouping val="stacked"/>
        <c:varyColors val="0"/>
        <c:ser>
          <c:idx val="0"/>
          <c:order val="0"/>
          <c:tx>
            <c:strRef>
              <c:f>ANALYSIS!$B$23</c:f>
              <c:strCache>
                <c:ptCount val="1"/>
                <c:pt idx="0">
                  <c:v>Total</c:v>
                </c:pt>
              </c:strCache>
            </c:strRef>
          </c:tx>
          <c:spPr>
            <a:solidFill>
              <a:schemeClr val="accent6"/>
            </a:solidFill>
            <a:ln>
              <a:noFill/>
            </a:ln>
            <a:effectLst/>
            <a:sp3d/>
          </c:spPr>
          <c:invertIfNegative val="0"/>
          <c:dPt>
            <c:idx val="0"/>
            <c:invertIfNegative val="0"/>
            <c:bubble3D val="0"/>
            <c:spPr>
              <a:solidFill>
                <a:schemeClr val="accent6"/>
              </a:solidFill>
              <a:ln>
                <a:noFill/>
              </a:ln>
              <a:effectLst/>
              <a:sp3d/>
            </c:spPr>
          </c:dPt>
          <c:dPt>
            <c:idx val="1"/>
            <c:invertIfNegative val="0"/>
            <c:bubble3D val="0"/>
            <c:spPr>
              <a:solidFill>
                <a:schemeClr val="accent6"/>
              </a:solidFill>
              <a:ln>
                <a:noFill/>
              </a:ln>
              <a:effectLst/>
              <a:sp3d/>
            </c:spPr>
          </c:dPt>
          <c:dPt>
            <c:idx val="2"/>
            <c:invertIfNegative val="0"/>
            <c:bubble3D val="0"/>
            <c:spPr>
              <a:solidFill>
                <a:schemeClr val="accent6"/>
              </a:solidFill>
              <a:ln>
                <a:noFill/>
              </a:ln>
              <a:effectLst/>
              <a:sp3d/>
            </c:spPr>
          </c:dPt>
          <c:dPt>
            <c:idx val="3"/>
            <c:invertIfNegative val="0"/>
            <c:bubble3D val="0"/>
            <c:spPr>
              <a:solidFill>
                <a:schemeClr val="accent6"/>
              </a:solidFill>
              <a:ln>
                <a:noFill/>
              </a:ln>
              <a:effectLst/>
              <a:sp3d/>
            </c:spPr>
          </c:dPt>
          <c:dPt>
            <c:idx val="4"/>
            <c:invertIfNegative val="0"/>
            <c:bubble3D val="0"/>
            <c:spPr>
              <a:solidFill>
                <a:schemeClr val="accent6"/>
              </a:solidFill>
              <a:ln>
                <a:noFill/>
              </a:ln>
              <a:effectLst/>
              <a:sp3d/>
            </c:spPr>
          </c:dPt>
          <c:dPt>
            <c:idx val="5"/>
            <c:invertIfNegative val="0"/>
            <c:bubble3D val="0"/>
            <c:spPr>
              <a:solidFill>
                <a:schemeClr val="accent6"/>
              </a:solidFill>
              <a:ln>
                <a:noFill/>
              </a:ln>
              <a:effectLst/>
              <a:sp3d/>
            </c:spPr>
          </c:dPt>
          <c:dPt>
            <c:idx val="6"/>
            <c:invertIfNegative val="0"/>
            <c:bubble3D val="0"/>
            <c:spPr>
              <a:solidFill>
                <a:schemeClr val="accent6"/>
              </a:solidFill>
              <a:ln>
                <a:noFill/>
              </a:ln>
              <a:effectLst/>
              <a:sp3d/>
            </c:spPr>
          </c:dPt>
          <c:dLbls>
            <c:dLbl>
              <c:idx val="0"/>
              <c:layout>
                <c:manualLayout>
                  <c:x val="3.1152647975077738E-3"/>
                  <c:y val="-0.11815920398009951"/>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3.1152647975077595E-3"/>
                  <c:y val="-0.15547263681592038"/>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3.1152647975077313E-3"/>
                  <c:y val="-0.17412935323383091"/>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5.7112528185510247E-17"/>
                  <c:y val="-0.130597014925373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3.1152647975077881E-3"/>
                  <c:y val="-0.28606965174129351"/>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6.2305295950154625E-3"/>
                  <c:y val="-0.16791044776119404"/>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3.1152647975077881E-3"/>
                  <c:y val="-0.14925373134328365"/>
                </c:manualLayout>
              </c:layout>
              <c:showLegendKey val="0"/>
              <c:showVal val="1"/>
              <c:showCatName val="0"/>
              <c:showSerName val="0"/>
              <c:showPercent val="0"/>
              <c:showBubbleSize val="0"/>
              <c:extLst>
                <c:ext xmlns:c15="http://schemas.microsoft.com/office/drawing/2012/chart" uri="{CE6537A1-D6FC-4f65-9D91-7224C49458BB}">
                  <c15:layout/>
                </c:ext>
              </c:extLst>
            </c:dLbl>
            <c:spPr>
              <a:solidFill>
                <a:srgbClr val="70AD47">
                  <a:lumMod val="40000"/>
                  <a:lumOff val="60000"/>
                </a:srgbClr>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ANALYSIS!$A$24:$A$30</c:f>
              <c:strCache>
                <c:ptCount val="7"/>
                <c:pt idx="0">
                  <c:v>Sun</c:v>
                </c:pt>
                <c:pt idx="1">
                  <c:v>Mon</c:v>
                </c:pt>
                <c:pt idx="2">
                  <c:v>Tue</c:v>
                </c:pt>
                <c:pt idx="3">
                  <c:v>Wed</c:v>
                </c:pt>
                <c:pt idx="4">
                  <c:v>Thu</c:v>
                </c:pt>
                <c:pt idx="5">
                  <c:v>Fri</c:v>
                </c:pt>
                <c:pt idx="6">
                  <c:v>Sat</c:v>
                </c:pt>
              </c:strCache>
            </c:strRef>
          </c:cat>
          <c:val>
            <c:numRef>
              <c:f>ANALYSIS!$B$24:$B$30</c:f>
              <c:numCache>
                <c:formatCode>\$0.00,\k</c:formatCode>
                <c:ptCount val="7"/>
                <c:pt idx="0">
                  <c:v>2000</c:v>
                </c:pt>
                <c:pt idx="1">
                  <c:v>3254</c:v>
                </c:pt>
                <c:pt idx="2">
                  <c:v>4230</c:v>
                </c:pt>
                <c:pt idx="3">
                  <c:v>2540</c:v>
                </c:pt>
                <c:pt idx="4">
                  <c:v>8880</c:v>
                </c:pt>
                <c:pt idx="5">
                  <c:v>3730</c:v>
                </c:pt>
                <c:pt idx="6">
                  <c:v>2280</c:v>
                </c:pt>
              </c:numCache>
            </c:numRef>
          </c:val>
        </c:ser>
        <c:dLbls>
          <c:showLegendKey val="0"/>
          <c:showVal val="1"/>
          <c:showCatName val="0"/>
          <c:showSerName val="0"/>
          <c:showPercent val="0"/>
          <c:showBubbleSize val="0"/>
        </c:dLbls>
        <c:gapWidth val="150"/>
        <c:shape val="box"/>
        <c:axId val="1299521680"/>
        <c:axId val="1299523312"/>
        <c:axId val="0"/>
      </c:bar3DChart>
      <c:catAx>
        <c:axId val="1299521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523312"/>
        <c:crosses val="autoZero"/>
        <c:auto val="1"/>
        <c:lblAlgn val="ctr"/>
        <c:lblOffset val="100"/>
        <c:noMultiLvlLbl val="0"/>
      </c:catAx>
      <c:valAx>
        <c:axId val="1299523312"/>
        <c:scaling>
          <c:orientation val="minMax"/>
        </c:scaling>
        <c:delete val="1"/>
        <c:axPos val="l"/>
        <c:majorGridlines>
          <c:spPr>
            <a:ln w="9525" cap="flat" cmpd="sng" algn="ctr">
              <a:noFill/>
              <a:round/>
            </a:ln>
            <a:effectLst/>
          </c:spPr>
        </c:majorGridlines>
        <c:numFmt formatCode="\$0.00,\k" sourceLinked="1"/>
        <c:majorTickMark val="none"/>
        <c:minorTickMark val="none"/>
        <c:tickLblPos val="nextTo"/>
        <c:crossAx val="129952168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Dashboard.xlsx]ANALYSIS!PivotTable6</c:name>
    <c:fmtId val="5"/>
  </c:pivotSource>
  <c:chart>
    <c:autoTitleDeleted val="1"/>
    <c:pivotFmts>
      <c:pivotFmt>
        <c:idx val="0"/>
        <c:spPr>
          <a:solidFill>
            <a:schemeClr val="accent6"/>
          </a:solidFill>
          <a:ln>
            <a:noFill/>
          </a:ln>
          <a:effectLst/>
          <a:sp3d/>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ANALYSIS!$B$13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ANALYSIS!$A$14:$A$19</c:f>
              <c:strCache>
                <c:ptCount val="6"/>
                <c:pt idx="0">
                  <c:v>Alvin Wilson</c:v>
                </c:pt>
                <c:pt idx="1">
                  <c:v>Janet Leverling</c:v>
                </c:pt>
                <c:pt idx="2">
                  <c:v>Margaret Peacock</c:v>
                </c:pt>
                <c:pt idx="3">
                  <c:v>Michael Suyama</c:v>
                </c:pt>
                <c:pt idx="4">
                  <c:v>Nancy Davolio</c:v>
                </c:pt>
                <c:pt idx="5">
                  <c:v>Smith Peterson </c:v>
                </c:pt>
              </c:strCache>
            </c:strRef>
          </c:cat>
          <c:val>
            <c:numRef>
              <c:f>ANALYSIS!$B$14:$B$19</c:f>
              <c:numCache>
                <c:formatCode>\$0.00,\k</c:formatCode>
                <c:ptCount val="6"/>
                <c:pt idx="0">
                  <c:v>1620</c:v>
                </c:pt>
                <c:pt idx="1">
                  <c:v>6910</c:v>
                </c:pt>
                <c:pt idx="2">
                  <c:v>10164</c:v>
                </c:pt>
                <c:pt idx="3">
                  <c:v>2920</c:v>
                </c:pt>
                <c:pt idx="4">
                  <c:v>2800</c:v>
                </c:pt>
                <c:pt idx="5">
                  <c:v>2500</c:v>
                </c:pt>
              </c:numCache>
            </c:numRef>
          </c:val>
        </c:ser>
        <c:dLbls>
          <c:showLegendKey val="0"/>
          <c:showVal val="1"/>
          <c:showCatName val="0"/>
          <c:showSerName val="0"/>
          <c:showPercent val="0"/>
          <c:showBubbleSize val="0"/>
        </c:dLbls>
        <c:gapWidth val="79"/>
        <c:shape val="box"/>
        <c:axId val="1299538544"/>
        <c:axId val="1299526576"/>
        <c:axId val="0"/>
      </c:bar3DChart>
      <c:catAx>
        <c:axId val="129953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chemeClr val="accent6">
                    <a:lumMod val="75000"/>
                  </a:schemeClr>
                </a:solidFill>
                <a:latin typeface="+mn-lt"/>
                <a:ea typeface="+mn-ea"/>
                <a:cs typeface="+mn-cs"/>
              </a:defRPr>
            </a:pPr>
            <a:endParaRPr lang="en-US"/>
          </a:p>
        </c:txPr>
        <c:crossAx val="1299526576"/>
        <c:crosses val="autoZero"/>
        <c:auto val="1"/>
        <c:lblAlgn val="ctr"/>
        <c:lblOffset val="100"/>
        <c:noMultiLvlLbl val="0"/>
      </c:catAx>
      <c:valAx>
        <c:axId val="1299526576"/>
        <c:scaling>
          <c:orientation val="minMax"/>
        </c:scaling>
        <c:delete val="1"/>
        <c:axPos val="b"/>
        <c:numFmt formatCode="\$0.00,\k" sourceLinked="1"/>
        <c:majorTickMark val="none"/>
        <c:minorTickMark val="none"/>
        <c:tickLblPos val="nextTo"/>
        <c:crossAx val="1299538544"/>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e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228600</xdr:colOff>
      <xdr:row>55</xdr:row>
      <xdr:rowOff>68580</xdr:rowOff>
    </xdr:from>
    <xdr:to>
      <xdr:col>10</xdr:col>
      <xdr:colOff>533400</xdr:colOff>
      <xdr:row>70</xdr:row>
      <xdr:rowOff>60960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350520</xdr:colOff>
      <xdr:row>33</xdr:row>
      <xdr:rowOff>83820</xdr:rowOff>
    </xdr:from>
    <xdr:to>
      <xdr:col>17</xdr:col>
      <xdr:colOff>45720</xdr:colOff>
      <xdr:row>48</xdr:row>
      <xdr:rowOff>68580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129540</xdr:colOff>
      <xdr:row>18</xdr:row>
      <xdr:rowOff>160020</xdr:rowOff>
    </xdr:from>
    <xdr:to>
      <xdr:col>17</xdr:col>
      <xdr:colOff>434340</xdr:colOff>
      <xdr:row>33</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22860</xdr:colOff>
      <xdr:row>1</xdr:row>
      <xdr:rowOff>0</xdr:rowOff>
    </xdr:from>
    <xdr:to>
      <xdr:col>17</xdr:col>
      <xdr:colOff>327660</xdr:colOff>
      <xdr:row>15</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556260</xdr:colOff>
      <xdr:row>12</xdr:row>
      <xdr:rowOff>160021</xdr:rowOff>
    </xdr:from>
    <xdr:to>
      <xdr:col>20</xdr:col>
      <xdr:colOff>556260</xdr:colOff>
      <xdr:row>23</xdr:row>
      <xdr:rowOff>22861</xdr:rowOff>
    </xdr:to>
    <mc:AlternateContent xmlns:mc="http://schemas.openxmlformats.org/markup-compatibility/2006">
      <mc:Choice xmlns:a14="http://schemas.microsoft.com/office/drawing/2010/main" Requires="a14">
        <xdr:graphicFrame macro="">
          <xdr:nvGraphicFramePr>
            <xdr:cNvPr id="8" name="Company Name"/>
            <xdr:cNvGraphicFramePr/>
          </xdr:nvGraphicFramePr>
          <xdr:xfrm>
            <a:off x="0" y="0"/>
            <a:ext cx="0" cy="0"/>
          </xdr:xfrm>
          <a:graphic>
            <a:graphicData uri="http://schemas.microsoft.com/office/drawing/2010/slicer">
              <sle:slicer xmlns:sle="http://schemas.microsoft.com/office/drawing/2010/slicer" name="Company Name"/>
            </a:graphicData>
          </a:graphic>
        </xdr:graphicFrame>
      </mc:Choice>
      <mc:Fallback>
        <xdr:sp macro="" textlink="">
          <xdr:nvSpPr>
            <xdr:cNvPr id="0" name=""/>
            <xdr:cNvSpPr>
              <a:spLocks noTextEdit="1"/>
            </xdr:cNvSpPr>
          </xdr:nvSpPr>
          <xdr:spPr>
            <a:xfrm>
              <a:off x="11818620" y="2392681"/>
              <a:ext cx="182880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0</xdr:row>
      <xdr:rowOff>83820</xdr:rowOff>
    </xdr:from>
    <xdr:to>
      <xdr:col>21</xdr:col>
      <xdr:colOff>480060</xdr:colOff>
      <xdr:row>29</xdr:row>
      <xdr:rowOff>91440</xdr:rowOff>
    </xdr:to>
    <xdr:sp macro="" textlink="">
      <xdr:nvSpPr>
        <xdr:cNvPr id="3" name="Rectangle 2"/>
        <xdr:cNvSpPr/>
      </xdr:nvSpPr>
      <xdr:spPr>
        <a:xfrm>
          <a:off x="617220" y="83820"/>
          <a:ext cx="12664440" cy="5311140"/>
        </a:xfrm>
        <a:prstGeom prst="rect">
          <a:avLst/>
        </a:prstGeom>
        <a:solidFill>
          <a:schemeClr val="bg1">
            <a:lumMod val="95000"/>
            <a:alpha val="83922"/>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99060</xdr:colOff>
      <xdr:row>0</xdr:row>
      <xdr:rowOff>144780</xdr:rowOff>
    </xdr:from>
    <xdr:to>
      <xdr:col>4</xdr:col>
      <xdr:colOff>320040</xdr:colOff>
      <xdr:row>29</xdr:row>
      <xdr:rowOff>30480</xdr:rowOff>
    </xdr:to>
    <xdr:sp macro="" textlink="">
      <xdr:nvSpPr>
        <xdr:cNvPr id="4" name="Rounded Rectangle 3"/>
        <xdr:cNvSpPr/>
      </xdr:nvSpPr>
      <xdr:spPr>
        <a:xfrm>
          <a:off x="708660" y="144780"/>
          <a:ext cx="2049780" cy="5189220"/>
        </a:xfrm>
        <a:prstGeom prst="roundRect">
          <a:avLst>
            <a:gd name="adj" fmla="val 3576"/>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160020</xdr:colOff>
      <xdr:row>1</xdr:row>
      <xdr:rowOff>53340</xdr:rowOff>
    </xdr:from>
    <xdr:to>
      <xdr:col>4</xdr:col>
      <xdr:colOff>228600</xdr:colOff>
      <xdr:row>4</xdr:row>
      <xdr:rowOff>91440</xdr:rowOff>
    </xdr:to>
    <xdr:sp macro="" textlink="">
      <xdr:nvSpPr>
        <xdr:cNvPr id="5" name="TextBox 4"/>
        <xdr:cNvSpPr txBox="1"/>
      </xdr:nvSpPr>
      <xdr:spPr>
        <a:xfrm>
          <a:off x="769620" y="236220"/>
          <a:ext cx="1897380" cy="586740"/>
        </a:xfrm>
        <a:prstGeom prst="rect">
          <a:avLst/>
        </a:prstGeom>
        <a:no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a:solidFill>
                <a:srgbClr val="002060"/>
              </a:solidFill>
              <a:latin typeface="Bahnschrift SemiLight" panose="020B0502040204020203" pitchFamily="34" charset="0"/>
            </a:rPr>
            <a:t>E-COMMERCE</a:t>
          </a:r>
          <a:r>
            <a:rPr lang="en-IN" sz="1600" b="1">
              <a:solidFill>
                <a:srgbClr val="00B050"/>
              </a:solidFill>
              <a:latin typeface="Bahnschrift Light" panose="020B0502040204020203" pitchFamily="34" charset="0"/>
            </a:rPr>
            <a:t> </a:t>
          </a:r>
        </a:p>
      </xdr:txBody>
    </xdr:sp>
    <xdr:clientData/>
  </xdr:twoCellAnchor>
  <xdr:twoCellAnchor editAs="oneCell">
    <xdr:from>
      <xdr:col>3</xdr:col>
      <xdr:colOff>396241</xdr:colOff>
      <xdr:row>2</xdr:row>
      <xdr:rowOff>1</xdr:rowOff>
    </xdr:from>
    <xdr:to>
      <xdr:col>4</xdr:col>
      <xdr:colOff>175261</xdr:colOff>
      <xdr:row>3</xdr:row>
      <xdr:rowOff>160020</xdr:rowOff>
    </xdr:to>
    <xdr:pic>
      <xdr:nvPicPr>
        <xdr:cNvPr id="7"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25041" y="365761"/>
          <a:ext cx="388620" cy="342899"/>
        </a:xfrm>
        <a:prstGeom prst="rect">
          <a:avLst/>
        </a:prstGeom>
      </xdr:spPr>
    </xdr:pic>
    <xdr:clientData/>
  </xdr:twoCellAnchor>
  <xdr:twoCellAnchor>
    <xdr:from>
      <xdr:col>4</xdr:col>
      <xdr:colOff>495300</xdr:colOff>
      <xdr:row>1</xdr:row>
      <xdr:rowOff>53340</xdr:rowOff>
    </xdr:from>
    <xdr:to>
      <xdr:col>7</xdr:col>
      <xdr:colOff>563880</xdr:colOff>
      <xdr:row>4</xdr:row>
      <xdr:rowOff>91440</xdr:rowOff>
    </xdr:to>
    <xdr:sp macro="" textlink="">
      <xdr:nvSpPr>
        <xdr:cNvPr id="11" name="TextBox 10"/>
        <xdr:cNvSpPr txBox="1"/>
      </xdr:nvSpPr>
      <xdr:spPr>
        <a:xfrm>
          <a:off x="2933700" y="236220"/>
          <a:ext cx="1897380" cy="586740"/>
        </a:xfrm>
        <a:prstGeom prst="rect">
          <a:avLst/>
        </a:prstGeom>
        <a:solidFill>
          <a:schemeClr val="accent6">
            <a:lumMod val="20000"/>
            <a:lumOff val="8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002060"/>
              </a:solidFill>
              <a:latin typeface="Century Gothic" panose="020B0502020202020204" pitchFamily="34" charset="0"/>
            </a:rPr>
            <a:t>TOTAL SALES</a:t>
          </a:r>
        </a:p>
        <a:p>
          <a:pPr algn="ctr"/>
          <a:endParaRPr lang="en-IN" sz="1200" b="1">
            <a:solidFill>
              <a:srgbClr val="00B050"/>
            </a:solidFill>
            <a:latin typeface="Bahnschrift Light" panose="020B0502040204020203" pitchFamily="34" charset="0"/>
          </a:endParaRPr>
        </a:p>
      </xdr:txBody>
    </xdr:sp>
    <xdr:clientData/>
  </xdr:twoCellAnchor>
  <xdr:twoCellAnchor>
    <xdr:from>
      <xdr:col>5</xdr:col>
      <xdr:colOff>434340</xdr:colOff>
      <xdr:row>2</xdr:row>
      <xdr:rowOff>121920</xdr:rowOff>
    </xdr:from>
    <xdr:to>
      <xdr:col>7</xdr:col>
      <xdr:colOff>121920</xdr:colOff>
      <xdr:row>4</xdr:row>
      <xdr:rowOff>7620</xdr:rowOff>
    </xdr:to>
    <xdr:sp macro="" textlink="ANALYSIS!A7">
      <xdr:nvSpPr>
        <xdr:cNvPr id="12" name="TextBox 11"/>
        <xdr:cNvSpPr txBox="1"/>
      </xdr:nvSpPr>
      <xdr:spPr>
        <a:xfrm>
          <a:off x="3482340" y="487680"/>
          <a:ext cx="906780" cy="25146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470854-5601-4576-A439-A1247C972B87}" type="TxLink">
            <a:rPr lang="en-US" sz="1600" b="1" i="0" u="none" strike="noStrike">
              <a:solidFill>
                <a:schemeClr val="accent6">
                  <a:lumMod val="75000"/>
                </a:schemeClr>
              </a:solidFill>
              <a:latin typeface="Calibri"/>
              <a:ea typeface="Calibri"/>
              <a:cs typeface="Calibri"/>
            </a:rPr>
            <a:pPr/>
            <a:t>$26.91K</a:t>
          </a:fld>
          <a:endParaRPr lang="en-IN" sz="1600" b="1">
            <a:solidFill>
              <a:schemeClr val="accent6">
                <a:lumMod val="75000"/>
              </a:schemeClr>
            </a:solidFill>
          </a:endParaRPr>
        </a:p>
      </xdr:txBody>
    </xdr:sp>
    <xdr:clientData/>
  </xdr:twoCellAnchor>
  <xdr:twoCellAnchor>
    <xdr:from>
      <xdr:col>8</xdr:col>
      <xdr:colOff>289560</xdr:colOff>
      <xdr:row>1</xdr:row>
      <xdr:rowOff>68580</xdr:rowOff>
    </xdr:from>
    <xdr:to>
      <xdr:col>11</xdr:col>
      <xdr:colOff>358140</xdr:colOff>
      <xdr:row>4</xdr:row>
      <xdr:rowOff>106680</xdr:rowOff>
    </xdr:to>
    <xdr:sp macro="" textlink="">
      <xdr:nvSpPr>
        <xdr:cNvPr id="13" name="TextBox 12"/>
        <xdr:cNvSpPr txBox="1"/>
      </xdr:nvSpPr>
      <xdr:spPr>
        <a:xfrm>
          <a:off x="5166360" y="251460"/>
          <a:ext cx="1897380" cy="586740"/>
        </a:xfrm>
        <a:prstGeom prst="rect">
          <a:avLst/>
        </a:prstGeom>
        <a:solidFill>
          <a:schemeClr val="accent6">
            <a:lumMod val="20000"/>
            <a:lumOff val="8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002060"/>
              </a:solidFill>
              <a:latin typeface="Century Gothic" panose="020B0502020202020204" pitchFamily="34" charset="0"/>
            </a:rPr>
            <a:t>TOTAL ORDERS</a:t>
          </a:r>
        </a:p>
      </xdr:txBody>
    </xdr:sp>
    <xdr:clientData/>
  </xdr:twoCellAnchor>
  <xdr:twoCellAnchor>
    <xdr:from>
      <xdr:col>9</xdr:col>
      <xdr:colOff>327660</xdr:colOff>
      <xdr:row>2</xdr:row>
      <xdr:rowOff>99060</xdr:rowOff>
    </xdr:from>
    <xdr:to>
      <xdr:col>10</xdr:col>
      <xdr:colOff>464820</xdr:colOff>
      <xdr:row>4</xdr:row>
      <xdr:rowOff>30480</xdr:rowOff>
    </xdr:to>
    <xdr:sp macro="" textlink="ANALYSIS!B7">
      <xdr:nvSpPr>
        <xdr:cNvPr id="14" name="TextBox 13"/>
        <xdr:cNvSpPr txBox="1"/>
      </xdr:nvSpPr>
      <xdr:spPr>
        <a:xfrm>
          <a:off x="5814060" y="464820"/>
          <a:ext cx="746760" cy="297180"/>
        </a:xfrm>
        <a:prstGeom prst="rect">
          <a:avLst/>
        </a:prstGeom>
        <a:solidFill>
          <a:schemeClr val="accent6">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76DC64-C19D-425C-9150-6308082CC54E}" type="TxLink">
            <a:rPr lang="en-US" sz="2000" b="1" i="0" u="none" strike="noStrike">
              <a:solidFill>
                <a:schemeClr val="accent6">
                  <a:lumMod val="75000"/>
                </a:schemeClr>
              </a:solidFill>
              <a:latin typeface="Calibri"/>
              <a:ea typeface="Calibri"/>
              <a:cs typeface="Calibri"/>
            </a:rPr>
            <a:pPr/>
            <a:t>34</a:t>
          </a:fld>
          <a:endParaRPr lang="en-IN" sz="2000" b="1">
            <a:solidFill>
              <a:schemeClr val="accent6">
                <a:lumMod val="75000"/>
              </a:schemeClr>
            </a:solidFill>
          </a:endParaRPr>
        </a:p>
      </xdr:txBody>
    </xdr:sp>
    <xdr:clientData/>
  </xdr:twoCellAnchor>
  <xdr:twoCellAnchor>
    <xdr:from>
      <xdr:col>12</xdr:col>
      <xdr:colOff>22860</xdr:colOff>
      <xdr:row>1</xdr:row>
      <xdr:rowOff>76200</xdr:rowOff>
    </xdr:from>
    <xdr:to>
      <xdr:col>21</xdr:col>
      <xdr:colOff>381000</xdr:colOff>
      <xdr:row>15</xdr:row>
      <xdr:rowOff>45720</xdr:rowOff>
    </xdr:to>
    <xdr:sp macro="" textlink="">
      <xdr:nvSpPr>
        <xdr:cNvPr id="16" name="TextBox 15"/>
        <xdr:cNvSpPr txBox="1"/>
      </xdr:nvSpPr>
      <xdr:spPr>
        <a:xfrm>
          <a:off x="7338060" y="259080"/>
          <a:ext cx="5844540" cy="252984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12</xdr:col>
      <xdr:colOff>22860</xdr:colOff>
      <xdr:row>1</xdr:row>
      <xdr:rowOff>76200</xdr:rowOff>
    </xdr:from>
    <xdr:to>
      <xdr:col>19</xdr:col>
      <xdr:colOff>327660</xdr:colOff>
      <xdr:row>16</xdr:row>
      <xdr:rowOff>76200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38100</xdr:colOff>
      <xdr:row>15</xdr:row>
      <xdr:rowOff>175260</xdr:rowOff>
    </xdr:from>
    <xdr:to>
      <xdr:col>21</xdr:col>
      <xdr:colOff>381000</xdr:colOff>
      <xdr:row>28</xdr:row>
      <xdr:rowOff>129540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518160</xdr:colOff>
      <xdr:row>5</xdr:row>
      <xdr:rowOff>114300</xdr:rowOff>
    </xdr:from>
    <xdr:to>
      <xdr:col>11</xdr:col>
      <xdr:colOff>358140</xdr:colOff>
      <xdr:row>16</xdr:row>
      <xdr:rowOff>129540</xdr:rowOff>
    </xdr:to>
    <xdr:sp macro="" textlink="">
      <xdr:nvSpPr>
        <xdr:cNvPr id="2" name="TextBox 1"/>
        <xdr:cNvSpPr txBox="1"/>
      </xdr:nvSpPr>
      <xdr:spPr>
        <a:xfrm>
          <a:off x="2956560" y="1028700"/>
          <a:ext cx="4107180" cy="20269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533400</xdr:colOff>
      <xdr:row>5</xdr:row>
      <xdr:rowOff>129540</xdr:rowOff>
    </xdr:from>
    <xdr:to>
      <xdr:col>11</xdr:col>
      <xdr:colOff>342900</xdr:colOff>
      <xdr:row>16</xdr:row>
      <xdr:rowOff>121920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525780</xdr:colOff>
      <xdr:row>17</xdr:row>
      <xdr:rowOff>121920</xdr:rowOff>
    </xdr:from>
    <xdr:to>
      <xdr:col>11</xdr:col>
      <xdr:colOff>396240</xdr:colOff>
      <xdr:row>28</xdr:row>
      <xdr:rowOff>106680</xdr:rowOff>
    </xdr:to>
    <xdr:sp macro="" textlink="">
      <xdr:nvSpPr>
        <xdr:cNvPr id="6" name="TextBox 5"/>
        <xdr:cNvSpPr txBox="1"/>
      </xdr:nvSpPr>
      <xdr:spPr>
        <a:xfrm>
          <a:off x="2964180" y="3230880"/>
          <a:ext cx="4137660" cy="199644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xdr:col>
      <xdr:colOff>525780</xdr:colOff>
      <xdr:row>17</xdr:row>
      <xdr:rowOff>137160</xdr:rowOff>
    </xdr:from>
    <xdr:to>
      <xdr:col>11</xdr:col>
      <xdr:colOff>388620</xdr:colOff>
      <xdr:row>28</xdr:row>
      <xdr:rowOff>121920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167640</xdr:colOff>
      <xdr:row>5</xdr:row>
      <xdr:rowOff>106681</xdr:rowOff>
    </xdr:from>
    <xdr:to>
      <xdr:col>4</xdr:col>
      <xdr:colOff>190500</xdr:colOff>
      <xdr:row>15</xdr:row>
      <xdr:rowOff>38101</xdr:rowOff>
    </xdr:to>
    <mc:AlternateContent xmlns:mc="http://schemas.openxmlformats.org/markup-compatibility/2006" xmlns:a14="http://schemas.microsoft.com/office/drawing/2010/main">
      <mc:Choice Requires="a14">
        <xdr:graphicFrame macro="">
          <xdr:nvGraphicFramePr>
            <xdr:cNvPr id="24"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77240" y="1021081"/>
              <a:ext cx="185166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205740</xdr:colOff>
      <xdr:row>16</xdr:row>
      <xdr:rowOff>175260</xdr:rowOff>
    </xdr:from>
    <xdr:to>
      <xdr:col>4</xdr:col>
      <xdr:colOff>205740</xdr:colOff>
      <xdr:row>27</xdr:row>
      <xdr:rowOff>53340</xdr:rowOff>
    </xdr:to>
    <mc:AlternateContent xmlns:mc="http://schemas.openxmlformats.org/markup-compatibility/2006">
      <mc:Choice xmlns:a14="http://schemas.microsoft.com/office/drawing/2010/main" Requires="a14">
        <xdr:graphicFrame macro="">
          <xdr:nvGraphicFramePr>
            <xdr:cNvPr id="27" name="Company Name 1"/>
            <xdr:cNvGraphicFramePr/>
          </xdr:nvGraphicFramePr>
          <xdr:xfrm>
            <a:off x="0" y="0"/>
            <a:ext cx="0" cy="0"/>
          </xdr:xfrm>
          <a:graphic>
            <a:graphicData uri="http://schemas.microsoft.com/office/drawing/2010/slicer">
              <sle:slicer xmlns:sle="http://schemas.microsoft.com/office/drawing/2010/slicer" name="Company Name 1"/>
            </a:graphicData>
          </a:graphic>
        </xdr:graphicFrame>
      </mc:Choice>
      <mc:Fallback>
        <xdr:sp macro="" textlink="">
          <xdr:nvSpPr>
            <xdr:cNvPr id="0" name=""/>
            <xdr:cNvSpPr>
              <a:spLocks noTextEdit="1"/>
            </xdr:cNvSpPr>
          </xdr:nvSpPr>
          <xdr:spPr>
            <a:xfrm>
              <a:off x="815340" y="3101340"/>
              <a:ext cx="182880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ishant gulati" refreshedDate="46231.636534953701" createdVersion="5" refreshedVersion="5" minRefreshableVersion="3" recordCount="34">
  <cacheSource type="worksheet">
    <worksheetSource name="Table1_2"/>
  </cacheSource>
  <cacheFields count="10">
    <cacheField name="Company Name" numFmtId="0">
      <sharedItems count="5">
        <s v="GlobalIT"/>
        <s v="Rox Luxurious Hotel"/>
        <s v="Lifeline Health Centre "/>
        <s v="Mac Healthcare"/>
        <s v="Alpha Supermart"/>
      </sharedItems>
    </cacheField>
    <cacheField name="Location" numFmtId="0">
      <sharedItems count="5">
        <s v="Argentina"/>
        <s v="Germany"/>
        <s v="Finland"/>
        <s v="France"/>
        <s v="Holland"/>
      </sharedItems>
    </cacheField>
    <cacheField name="Sales Person" numFmtId="0">
      <sharedItems count="6">
        <s v="Nancy Davolio"/>
        <s v="Janet Leverling"/>
        <s v="Michael Suyama"/>
        <s v="Margaret Peacock"/>
        <s v="Smith Peterson "/>
        <s v="Alvin Wilson"/>
      </sharedItems>
    </cacheField>
    <cacheField name="Order ID" numFmtId="0">
      <sharedItems containsSemiMixedTypes="0" containsString="0" containsNumber="1" containsInteger="1" minValue="100" maxValue="133"/>
    </cacheField>
    <cacheField name="Sales Date" numFmtId="22">
      <sharedItems containsSemiMixedTypes="0" containsNonDate="0" containsDate="1" containsString="0" minDate="2010-01-15T00:00:00" maxDate="2012-02-01T00:00:00" count="33">
        <d v="2010-01-15T00:00:00"/>
        <d v="2010-03-16T00:00:00"/>
        <d v="2010-04-09T00:00:00"/>
        <d v="2010-05-10T00:00:00"/>
        <d v="2010-06-15T00:00:00"/>
        <d v="2010-07-22T00:00:00"/>
        <d v="2010-08-10T00:00:00"/>
        <d v="2010-09-10T00:00:00"/>
        <d v="2010-10-11T00:00:00"/>
        <d v="2010-11-09T00:00:00"/>
        <d v="2010-12-25T00:00:00"/>
        <d v="2011-01-01T00:00:00"/>
        <d v="2011-02-02T00:00:00"/>
        <d v="2011-03-03T00:00:00"/>
        <d v="2011-04-04T00:00:00"/>
        <d v="2011-05-05T00:00:00"/>
        <d v="2011-06-06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sharedItems>
      <fieldGroup base="4">
        <rangePr groupBy="months" startDate="2010-01-15T00:00:00" endDate="2012-02-01T00:00:00"/>
        <groupItems count="14">
          <s v="&lt;15-01-2010"/>
          <s v="Jan"/>
          <s v="Feb"/>
          <s v="Mar"/>
          <s v="Apr"/>
          <s v="May"/>
          <s v="Jun"/>
          <s v="Jul"/>
          <s v="Aug"/>
          <s v="Sep"/>
          <s v="Oct"/>
          <s v="Nov"/>
          <s v="Dec"/>
          <s v="&gt;01-02-2012"/>
        </groupItems>
      </fieldGroup>
    </cacheField>
    <cacheField name="Days" numFmtId="0">
      <sharedItems count="7">
        <s v="Fri"/>
        <s v="Tue"/>
        <s v="Mon"/>
        <s v="Thu"/>
        <s v="Sat"/>
        <s v="Wed"/>
        <s v="Sun"/>
      </sharedItems>
    </cacheField>
    <cacheField name="Product Name" numFmtId="0">
      <sharedItems/>
    </cacheField>
    <cacheField name="Unit Price" numFmtId="0">
      <sharedItems containsSemiMixedTypes="0" containsString="0" containsNumber="1" containsInteger="1" minValue="6" maxValue="150"/>
    </cacheField>
    <cacheField name="Quantity" numFmtId="0">
      <sharedItems containsSemiMixedTypes="0" containsString="0" containsNumber="1" containsInteger="1" minValue="1" maxValue="40"/>
    </cacheField>
    <cacheField name="Total" numFmtId="0">
      <sharedItems containsSemiMixedTypes="0" containsString="0" containsNumber="1" containsInteger="1" minValue="54" maxValue="48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4">
  <r>
    <x v="0"/>
    <x v="0"/>
    <x v="0"/>
    <n v="100"/>
    <x v="0"/>
    <x v="0"/>
    <s v="Hard Rug"/>
    <n v="100"/>
    <n v="4"/>
    <n v="400"/>
  </r>
  <r>
    <x v="0"/>
    <x v="0"/>
    <x v="0"/>
    <n v="101"/>
    <x v="0"/>
    <x v="0"/>
    <s v="Hard Rug"/>
    <n v="100"/>
    <n v="10"/>
    <n v="1000"/>
  </r>
  <r>
    <x v="0"/>
    <x v="0"/>
    <x v="0"/>
    <n v="102"/>
    <x v="1"/>
    <x v="1"/>
    <s v="Hard Rug"/>
    <n v="100"/>
    <n v="10"/>
    <n v="1000"/>
  </r>
  <r>
    <x v="0"/>
    <x v="0"/>
    <x v="0"/>
    <n v="103"/>
    <x v="2"/>
    <x v="0"/>
    <s v="Hard Rug"/>
    <n v="100"/>
    <n v="4"/>
    <n v="400"/>
  </r>
  <r>
    <x v="0"/>
    <x v="0"/>
    <x v="1"/>
    <n v="104"/>
    <x v="3"/>
    <x v="2"/>
    <s v="Red Silk"/>
    <n v="80"/>
    <n v="2"/>
    <n v="160"/>
  </r>
  <r>
    <x v="0"/>
    <x v="0"/>
    <x v="2"/>
    <n v="105"/>
    <x v="4"/>
    <x v="1"/>
    <s v="Soft Rug"/>
    <n v="120"/>
    <n v="1"/>
    <n v="120"/>
  </r>
  <r>
    <x v="0"/>
    <x v="0"/>
    <x v="2"/>
    <n v="106"/>
    <x v="5"/>
    <x v="3"/>
    <s v="Soft Rug"/>
    <n v="120"/>
    <n v="4"/>
    <n v="480"/>
  </r>
  <r>
    <x v="0"/>
    <x v="0"/>
    <x v="2"/>
    <n v="107"/>
    <x v="6"/>
    <x v="1"/>
    <s v="Red Silk"/>
    <n v="80"/>
    <n v="8"/>
    <n v="640"/>
  </r>
  <r>
    <x v="0"/>
    <x v="0"/>
    <x v="1"/>
    <n v="108"/>
    <x v="7"/>
    <x v="0"/>
    <s v="Red Silk"/>
    <n v="80"/>
    <n v="5"/>
    <n v="400"/>
  </r>
  <r>
    <x v="0"/>
    <x v="0"/>
    <x v="1"/>
    <n v="109"/>
    <x v="8"/>
    <x v="2"/>
    <s v="Hard Rug"/>
    <n v="100"/>
    <n v="1"/>
    <n v="100"/>
  </r>
  <r>
    <x v="1"/>
    <x v="1"/>
    <x v="1"/>
    <n v="110"/>
    <x v="9"/>
    <x v="1"/>
    <s v="Red Silk"/>
    <n v="80"/>
    <n v="20"/>
    <n v="1600"/>
  </r>
  <r>
    <x v="1"/>
    <x v="1"/>
    <x v="2"/>
    <n v="111"/>
    <x v="10"/>
    <x v="4"/>
    <s v="Red Silk"/>
    <n v="80"/>
    <n v="10"/>
    <n v="800"/>
  </r>
  <r>
    <x v="1"/>
    <x v="1"/>
    <x v="2"/>
    <n v="112"/>
    <x v="11"/>
    <x v="4"/>
    <s v="Red Silk"/>
    <n v="80"/>
    <n v="8"/>
    <n v="640"/>
  </r>
  <r>
    <x v="1"/>
    <x v="1"/>
    <x v="2"/>
    <n v="113"/>
    <x v="12"/>
    <x v="5"/>
    <s v="Red Silk"/>
    <n v="80"/>
    <n v="3"/>
    <n v="240"/>
  </r>
  <r>
    <x v="1"/>
    <x v="1"/>
    <x v="3"/>
    <n v="114"/>
    <x v="13"/>
    <x v="3"/>
    <s v="Soft Rug"/>
    <n v="120"/>
    <n v="20"/>
    <n v="2400"/>
  </r>
  <r>
    <x v="2"/>
    <x v="2"/>
    <x v="3"/>
    <n v="115"/>
    <x v="14"/>
    <x v="2"/>
    <s v="Soft Rug"/>
    <n v="120"/>
    <n v="6"/>
    <n v="720"/>
  </r>
  <r>
    <x v="2"/>
    <x v="2"/>
    <x v="3"/>
    <n v="116"/>
    <x v="15"/>
    <x v="3"/>
    <s v="Soft Rug"/>
    <n v="120"/>
    <n v="40"/>
    <n v="4800"/>
  </r>
  <r>
    <x v="2"/>
    <x v="2"/>
    <x v="3"/>
    <n v="117"/>
    <x v="16"/>
    <x v="2"/>
    <s v="Soft Rug"/>
    <n v="120"/>
    <n v="2"/>
    <n v="240"/>
  </r>
  <r>
    <x v="2"/>
    <x v="2"/>
    <x v="3"/>
    <n v="118"/>
    <x v="17"/>
    <x v="2"/>
    <s v="Soft Rug"/>
    <n v="6"/>
    <n v="9"/>
    <n v="54"/>
  </r>
  <r>
    <x v="2"/>
    <x v="2"/>
    <x v="3"/>
    <n v="119"/>
    <x v="18"/>
    <x v="1"/>
    <s v="Soft Silk"/>
    <n v="150"/>
    <n v="3"/>
    <n v="450"/>
  </r>
  <r>
    <x v="2"/>
    <x v="2"/>
    <x v="3"/>
    <n v="120"/>
    <x v="19"/>
    <x v="5"/>
    <s v="Soft Silk"/>
    <n v="150"/>
    <n v="10"/>
    <n v="1500"/>
  </r>
  <r>
    <x v="2"/>
    <x v="2"/>
    <x v="1"/>
    <n v="121"/>
    <x v="20"/>
    <x v="3"/>
    <s v="Soft Silk"/>
    <n v="150"/>
    <n v="4"/>
    <n v="600"/>
  </r>
  <r>
    <x v="2"/>
    <x v="2"/>
    <x v="1"/>
    <n v="122"/>
    <x v="21"/>
    <x v="0"/>
    <s v="Soft Silk"/>
    <n v="150"/>
    <n v="7"/>
    <n v="1050"/>
  </r>
  <r>
    <x v="2"/>
    <x v="2"/>
    <x v="1"/>
    <n v="123"/>
    <x v="22"/>
    <x v="4"/>
    <s v="Soft Silk"/>
    <n v="150"/>
    <n v="4"/>
    <n v="600"/>
  </r>
  <r>
    <x v="3"/>
    <x v="3"/>
    <x v="4"/>
    <n v="124"/>
    <x v="23"/>
    <x v="6"/>
    <s v="Hard Rug"/>
    <n v="100"/>
    <n v="8"/>
    <n v="800"/>
  </r>
  <r>
    <x v="3"/>
    <x v="3"/>
    <x v="5"/>
    <n v="125"/>
    <x v="24"/>
    <x v="2"/>
    <s v="Hard Rug"/>
    <n v="100"/>
    <n v="9"/>
    <n v="900"/>
  </r>
  <r>
    <x v="3"/>
    <x v="3"/>
    <x v="4"/>
    <n v="126"/>
    <x v="25"/>
    <x v="1"/>
    <s v="Hard Rug"/>
    <n v="100"/>
    <n v="3"/>
    <n v="300"/>
  </r>
  <r>
    <x v="3"/>
    <x v="3"/>
    <x v="4"/>
    <n v="127"/>
    <x v="26"/>
    <x v="5"/>
    <s v="Hard Rug"/>
    <n v="100"/>
    <n v="8"/>
    <n v="800"/>
  </r>
  <r>
    <x v="3"/>
    <x v="3"/>
    <x v="4"/>
    <n v="128"/>
    <x v="27"/>
    <x v="3"/>
    <s v="Hard Rug"/>
    <n v="100"/>
    <n v="6"/>
    <n v="600"/>
  </r>
  <r>
    <x v="4"/>
    <x v="4"/>
    <x v="5"/>
    <n v="129"/>
    <x v="28"/>
    <x v="0"/>
    <s v="Red Silk"/>
    <n v="80"/>
    <n v="6"/>
    <n v="480"/>
  </r>
  <r>
    <x v="4"/>
    <x v="4"/>
    <x v="5"/>
    <n v="130"/>
    <x v="29"/>
    <x v="4"/>
    <s v="Red Silk"/>
    <n v="80"/>
    <n v="3"/>
    <n v="240"/>
  </r>
  <r>
    <x v="4"/>
    <x v="4"/>
    <x v="1"/>
    <n v="131"/>
    <x v="30"/>
    <x v="6"/>
    <s v="Soft Rug"/>
    <n v="120"/>
    <n v="10"/>
    <n v="1200"/>
  </r>
  <r>
    <x v="4"/>
    <x v="4"/>
    <x v="1"/>
    <n v="132"/>
    <x v="31"/>
    <x v="2"/>
    <s v="Soft Rug"/>
    <n v="120"/>
    <n v="9"/>
    <n v="1080"/>
  </r>
  <r>
    <x v="4"/>
    <x v="4"/>
    <x v="1"/>
    <n v="133"/>
    <x v="32"/>
    <x v="1"/>
    <s v="Soft Rug"/>
    <n v="120"/>
    <n v="1"/>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0">
    <pivotField showAll="0">
      <items count="6">
        <item x="4"/>
        <item x="0"/>
        <item x="2"/>
        <item x="3"/>
        <item x="1"/>
        <item t="default"/>
      </items>
    </pivotField>
    <pivotField showAll="0">
      <items count="6">
        <item x="0"/>
        <item x="2"/>
        <item x="3"/>
        <item x="1"/>
        <item x="4"/>
        <item t="default"/>
      </items>
    </pivotField>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s>
  <rowItems count="1">
    <i/>
  </rowItems>
  <colItems count="1">
    <i/>
  </colItems>
  <dataFields count="1">
    <dataField name="Sum of Total" fld="9" baseField="0" baseItem="0" numFmtId="167"/>
  </dataFields>
  <formats count="9">
    <format dxfId="1739">
      <pivotArea type="all" dataOnly="0" outline="0" fieldPosition="0"/>
    </format>
    <format dxfId="1738">
      <pivotArea outline="0" collapsedLevelsAreSubtotals="1" fieldPosition="0"/>
    </format>
    <format dxfId="1737">
      <pivotArea outline="0" collapsedLevelsAreSubtotals="1" fieldPosition="0"/>
    </format>
    <format dxfId="1736">
      <pivotArea type="all" dataOnly="0" outline="0" fieldPosition="0"/>
    </format>
    <format dxfId="1735">
      <pivotArea outline="0" collapsedLevelsAreSubtotals="1" fieldPosition="0"/>
    </format>
    <format dxfId="1734">
      <pivotArea dataOnly="0" labelOnly="1" outline="0" axis="axisValues" fieldPosition="0"/>
    </format>
    <format dxfId="1733">
      <pivotArea type="all" dataOnly="0" outline="0" fieldPosition="0"/>
    </format>
    <format dxfId="1732">
      <pivotArea outline="0" collapsedLevelsAreSubtotals="1" fieldPosition="0"/>
    </format>
    <format dxfId="17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3:B4" firstHeaderRow="1" firstDataRow="1" firstDataCol="0"/>
  <pivotFields count="10">
    <pivotField showAll="0">
      <items count="6">
        <item x="4"/>
        <item x="0"/>
        <item x="2"/>
        <item x="3"/>
        <item x="1"/>
        <item t="default"/>
      </items>
    </pivotField>
    <pivotField showAll="0">
      <items count="6">
        <item x="0"/>
        <item x="2"/>
        <item x="3"/>
        <item x="1"/>
        <item x="4"/>
        <item t="default"/>
      </items>
    </pivotField>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s>
  <rowItems count="1">
    <i/>
  </rowItems>
  <colItems count="1">
    <i/>
  </colItems>
  <dataFields count="1">
    <dataField name="Count of Total" fld="9" subtotal="count" baseField="0" baseItem="0"/>
  </dataFields>
  <formats count="6">
    <format dxfId="1745">
      <pivotArea type="all" dataOnly="0" outline="0" fieldPosition="0"/>
    </format>
    <format dxfId="1744">
      <pivotArea outline="0" collapsedLevelsAreSubtotals="1" fieldPosition="0"/>
    </format>
    <format dxfId="1743">
      <pivotArea dataOnly="0" labelOnly="1" outline="0" axis="axisValues" fieldPosition="0"/>
    </format>
    <format dxfId="1742">
      <pivotArea type="all" dataOnly="0" outline="0" fieldPosition="0"/>
    </format>
    <format dxfId="1741">
      <pivotArea outline="0" collapsedLevelsAreSubtotals="1" fieldPosition="0"/>
    </format>
    <format dxfId="17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6"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6">
  <location ref="A13:B19" firstHeaderRow="1" firstDataRow="1" firstDataCol="1"/>
  <pivotFields count="10">
    <pivotField compact="0" outline="0" showAll="0">
      <items count="6">
        <item x="4"/>
        <item x="0"/>
        <item x="2"/>
        <item x="3"/>
        <item x="1"/>
        <item t="default"/>
      </items>
    </pivotField>
    <pivotField compact="0" outline="0" showAll="0">
      <items count="6">
        <item x="0"/>
        <item x="2"/>
        <item x="3"/>
        <item x="1"/>
        <item x="4"/>
        <item t="default"/>
      </items>
    </pivotField>
    <pivotField axis="axisRow" compact="0" outline="0" showAll="0">
      <items count="7">
        <item x="5"/>
        <item x="1"/>
        <item x="3"/>
        <item x="2"/>
        <item x="0"/>
        <item x="4"/>
        <item t="default"/>
      </items>
    </pivotField>
    <pivotField compact="0" outline="0" showAll="0"/>
    <pivotField compact="0" numFmtId="22"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dataField="1" compact="0" outline="0" showAll="0"/>
  </pivotFields>
  <rowFields count="1">
    <field x="2"/>
  </rowFields>
  <rowItems count="6">
    <i>
      <x/>
    </i>
    <i>
      <x v="1"/>
    </i>
    <i>
      <x v="2"/>
    </i>
    <i>
      <x v="3"/>
    </i>
    <i>
      <x v="4"/>
    </i>
    <i>
      <x v="5"/>
    </i>
  </rowItems>
  <colItems count="1">
    <i/>
  </colItems>
  <dataFields count="1">
    <dataField name="Sum of Total" fld="9" baseField="0" baseItem="0"/>
  </dataFields>
  <formats count="13">
    <format dxfId="1758">
      <pivotArea type="all" dataOnly="0" outline="0" fieldPosition="0"/>
    </format>
    <format dxfId="1757">
      <pivotArea outline="0" collapsedLevelsAreSubtotals="1" fieldPosition="0"/>
    </format>
    <format dxfId="1756">
      <pivotArea outline="0" collapsedLevelsAreSubtotals="1" fieldPosition="0"/>
    </format>
    <format dxfId="1755">
      <pivotArea type="all" dataOnly="0" outline="0" fieldPosition="0"/>
    </format>
    <format dxfId="1754">
      <pivotArea outline="0" collapsedLevelsAreSubtotals="1" fieldPosition="0"/>
    </format>
    <format dxfId="1753">
      <pivotArea field="2" type="button" dataOnly="0" labelOnly="1" outline="0" axis="axisRow" fieldPosition="0"/>
    </format>
    <format dxfId="1752">
      <pivotArea dataOnly="0" labelOnly="1" outline="0" axis="axisValues" fieldPosition="0"/>
    </format>
    <format dxfId="1751">
      <pivotArea dataOnly="0" labelOnly="1" outline="0" fieldPosition="0">
        <references count="1">
          <reference field="2" count="0"/>
        </references>
      </pivotArea>
    </format>
    <format dxfId="1750">
      <pivotArea type="all" dataOnly="0" outline="0" fieldPosition="0"/>
    </format>
    <format dxfId="1749">
      <pivotArea outline="0" collapsedLevelsAreSubtotals="1" fieldPosition="0"/>
    </format>
    <format dxfId="1748">
      <pivotArea field="2" type="button" dataOnly="0" labelOnly="1" outline="0" axis="axisRow" fieldPosition="0"/>
    </format>
    <format dxfId="1747">
      <pivotArea dataOnly="0" labelOnly="1" outline="0" axis="axisValues" fieldPosition="0"/>
    </format>
    <format dxfId="1746">
      <pivotArea dataOnly="0" labelOnly="1" outline="0" fieldPosition="0">
        <references count="1">
          <reference field="2" count="0"/>
        </references>
      </pivotArea>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6"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7">
  <location ref="A23:B30" firstHeaderRow="1" firstDataRow="1" firstDataCol="1"/>
  <pivotFields count="10">
    <pivotField compact="0" outline="0" showAll="0">
      <items count="6">
        <item x="4"/>
        <item x="0"/>
        <item x="2"/>
        <item x="3"/>
        <item x="1"/>
        <item t="default"/>
      </items>
    </pivotField>
    <pivotField compact="0" outline="0" showAll="0">
      <items count="6">
        <item x="0"/>
        <item x="2"/>
        <item x="3"/>
        <item x="1"/>
        <item x="4"/>
        <item t="default"/>
      </items>
    </pivotField>
    <pivotField compact="0" outline="0" showAll="0"/>
    <pivotField compact="0" outline="0" showAll="0"/>
    <pivotField compact="0" numFmtId="22" outline="0" showAll="0">
      <items count="15">
        <item x="0"/>
        <item x="1"/>
        <item x="2"/>
        <item x="3"/>
        <item x="4"/>
        <item x="5"/>
        <item x="6"/>
        <item x="7"/>
        <item x="8"/>
        <item x="9"/>
        <item x="10"/>
        <item x="11"/>
        <item x="12"/>
        <item x="13"/>
        <item t="default"/>
      </items>
    </pivotField>
    <pivotField axis="axisRow" compact="0" outline="0" showAll="0">
      <items count="8">
        <item x="6"/>
        <item x="2"/>
        <item x="1"/>
        <item x="5"/>
        <item x="3"/>
        <item x="0"/>
        <item x="4"/>
        <item t="default"/>
      </items>
    </pivotField>
    <pivotField compact="0" outline="0" showAll="0"/>
    <pivotField compact="0" outline="0" showAll="0"/>
    <pivotField compact="0" outline="0" showAll="0"/>
    <pivotField dataField="1" compact="0" outline="0" showAll="0"/>
  </pivotFields>
  <rowFields count="1">
    <field x="5"/>
  </rowFields>
  <rowItems count="7">
    <i>
      <x/>
    </i>
    <i>
      <x v="1"/>
    </i>
    <i>
      <x v="2"/>
    </i>
    <i>
      <x v="3"/>
    </i>
    <i>
      <x v="4"/>
    </i>
    <i>
      <x v="5"/>
    </i>
    <i>
      <x v="6"/>
    </i>
  </rowItems>
  <colItems count="1">
    <i/>
  </colItems>
  <dataFields count="1">
    <dataField name="Sum of Total" fld="9" baseField="0" baseItem="0" numFmtId="167"/>
  </dataFields>
  <formats count="8">
    <format dxfId="1766">
      <pivotArea type="all" dataOnly="0" outline="0" fieldPosition="0"/>
    </format>
    <format dxfId="1765">
      <pivotArea outline="0" collapsedLevelsAreSubtotals="1" fieldPosition="0"/>
    </format>
    <format dxfId="1764">
      <pivotArea outline="0" collapsedLevelsAreSubtotals="1" fieldPosition="0"/>
    </format>
    <format dxfId="1763">
      <pivotArea type="all" dataOnly="0" outline="0" fieldPosition="0"/>
    </format>
    <format dxfId="1762">
      <pivotArea outline="0" collapsedLevelsAreSubtotals="1" fieldPosition="0"/>
    </format>
    <format dxfId="1761">
      <pivotArea field="5" type="button" dataOnly="0" labelOnly="1" outline="0" axis="axisRow" fieldPosition="0"/>
    </format>
    <format dxfId="1760">
      <pivotArea dataOnly="0" labelOnly="1" outline="0" axis="axisValues" fieldPosition="0"/>
    </format>
    <format dxfId="1759">
      <pivotArea dataOnly="0" labelOnly="1" outline="0" fieldPosition="0">
        <references count="1">
          <reference field="5" count="0"/>
        </references>
      </pivotArea>
    </format>
  </format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 chart="2" format="4">
      <pivotArea type="data" outline="0" fieldPosition="0">
        <references count="2">
          <reference field="4294967294" count="1" selected="0">
            <x v="0"/>
          </reference>
          <reference field="5" count="1" selected="0">
            <x v="1"/>
          </reference>
        </references>
      </pivotArea>
    </chartFormat>
    <chartFormat chart="2" format="5">
      <pivotArea type="data" outline="0" fieldPosition="0">
        <references count="2">
          <reference field="4294967294" count="1" selected="0">
            <x v="0"/>
          </reference>
          <reference field="5" count="1" selected="0">
            <x v="2"/>
          </reference>
        </references>
      </pivotArea>
    </chartFormat>
    <chartFormat chart="2" format="6">
      <pivotArea type="data" outline="0" fieldPosition="0">
        <references count="2">
          <reference field="4294967294" count="1" selected="0">
            <x v="0"/>
          </reference>
          <reference field="5" count="1" selected="0">
            <x v="3"/>
          </reference>
        </references>
      </pivotArea>
    </chartFormat>
    <chartFormat chart="2" format="7">
      <pivotArea type="data" outline="0" fieldPosition="0">
        <references count="2">
          <reference field="4294967294" count="1" selected="0">
            <x v="0"/>
          </reference>
          <reference field="5" count="1" selected="0">
            <x v="4"/>
          </reference>
        </references>
      </pivotArea>
    </chartFormat>
    <chartFormat chart="2" format="8">
      <pivotArea type="data" outline="0" fieldPosition="0">
        <references count="2">
          <reference field="4294967294" count="1" selected="0">
            <x v="0"/>
          </reference>
          <reference field="5" count="1" selected="0">
            <x v="5"/>
          </reference>
        </references>
      </pivotArea>
    </chartFormat>
    <chartFormat chart="2" format="9">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6"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10">
  <location ref="A49:B54" firstHeaderRow="1" firstDataRow="1" firstDataCol="1"/>
  <pivotFields count="10">
    <pivotField axis="axisRow" compact="0" outline="0" showAll="0">
      <items count="6">
        <item x="4"/>
        <item x="0"/>
        <item x="2"/>
        <item x="3"/>
        <item x="1"/>
        <item t="default"/>
      </items>
    </pivotField>
    <pivotField compact="0" outline="0" showAll="0">
      <items count="6">
        <item x="0"/>
        <item x="2"/>
        <item x="3"/>
        <item x="1"/>
        <item x="4"/>
        <item t="default"/>
      </items>
    </pivotField>
    <pivotField compact="0" outline="0" showAll="0"/>
    <pivotField compact="0" outline="0" showAll="0"/>
    <pivotField compact="0" numFmtId="22" outline="0" showAll="0">
      <items count="15">
        <item x="0"/>
        <item x="1"/>
        <item x="2"/>
        <item x="3"/>
        <item x="4"/>
        <item x="5"/>
        <item x="6"/>
        <item x="7"/>
        <item x="8"/>
        <item x="9"/>
        <item x="10"/>
        <item x="11"/>
        <item x="12"/>
        <item x="13"/>
        <item t="default"/>
      </items>
    </pivotField>
    <pivotField compact="0" outline="0" showAll="0">
      <items count="8">
        <item x="6"/>
        <item x="2"/>
        <item x="1"/>
        <item x="5"/>
        <item x="3"/>
        <item x="0"/>
        <item x="4"/>
        <item t="default"/>
      </items>
    </pivotField>
    <pivotField compact="0" outline="0" showAll="0"/>
    <pivotField compact="0" outline="0" showAll="0"/>
    <pivotField compact="0" outline="0" showAll="0"/>
    <pivotField dataField="1" compact="0" outline="0" showAll="0"/>
  </pivotFields>
  <rowFields count="1">
    <field x="0"/>
  </rowFields>
  <rowItems count="5">
    <i>
      <x/>
    </i>
    <i>
      <x v="1"/>
    </i>
    <i>
      <x v="2"/>
    </i>
    <i>
      <x v="3"/>
    </i>
    <i>
      <x v="4"/>
    </i>
  </rowItems>
  <colItems count="1">
    <i/>
  </colItems>
  <dataFields count="1">
    <dataField name="Sum of Total" fld="9" baseField="0" baseItem="0" numFmtId="167"/>
  </dataFields>
  <formats count="12">
    <format dxfId="1778">
      <pivotArea type="all" dataOnly="0" outline="0" fieldPosition="0"/>
    </format>
    <format dxfId="1777">
      <pivotArea outline="0" collapsedLevelsAreSubtotals="1" fieldPosition="0"/>
    </format>
    <format dxfId="1776">
      <pivotArea outline="0" collapsedLevelsAreSubtotals="1" fieldPosition="0"/>
    </format>
    <format dxfId="1775">
      <pivotArea type="all" dataOnly="0" outline="0" fieldPosition="0"/>
    </format>
    <format dxfId="1774">
      <pivotArea outline="0" collapsedLevelsAreSubtotals="1" fieldPosition="0"/>
    </format>
    <format dxfId="1773">
      <pivotArea field="5" type="button" dataOnly="0" labelOnly="1" outline="0"/>
    </format>
    <format dxfId="1772">
      <pivotArea dataOnly="0" labelOnly="1" outline="0" axis="axisValues" fieldPosition="0"/>
    </format>
    <format dxfId="1771">
      <pivotArea type="all" dataOnly="0" outline="0" fieldPosition="0"/>
    </format>
    <format dxfId="1770">
      <pivotArea outline="0" collapsedLevelsAreSubtotals="1" fieldPosition="0"/>
    </format>
    <format dxfId="1769">
      <pivotArea field="0" type="button" dataOnly="0" labelOnly="1" outline="0" axis="axisRow" fieldPosition="0"/>
    </format>
    <format dxfId="1768">
      <pivotArea dataOnly="0" labelOnly="1" outline="0" axis="axisValues" fieldPosition="0"/>
    </format>
    <format dxfId="1767">
      <pivotArea dataOnly="0" labelOnly="1" outline="0" fieldPosition="0">
        <references count="1">
          <reference field="0" count="0"/>
        </references>
      </pivotArea>
    </format>
  </formats>
  <chartFormats count="18">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4"/>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0" count="1" selected="0">
            <x v="0"/>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8" format="11">
      <pivotArea type="data" outline="0" fieldPosition="0">
        <references count="2">
          <reference field="4294967294" count="1" selected="0">
            <x v="0"/>
          </reference>
          <reference field="0" count="1" selected="0">
            <x v="3"/>
          </reference>
        </references>
      </pivotArea>
    </chartFormat>
    <chartFormat chart="8"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6"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chartFormat="6">
  <location ref="A34:B46" firstHeaderRow="1" firstDataRow="1" firstDataCol="1"/>
  <pivotFields count="10">
    <pivotField compact="0" outline="0" showAll="0">
      <items count="6">
        <item x="4"/>
        <item x="0"/>
        <item x="2"/>
        <item x="3"/>
        <item x="1"/>
        <item t="default"/>
      </items>
    </pivotField>
    <pivotField compact="0" outline="0" showAll="0">
      <items count="6">
        <item x="0"/>
        <item x="2"/>
        <item x="3"/>
        <item x="1"/>
        <item x="4"/>
        <item t="default"/>
      </items>
    </pivotField>
    <pivotField compact="0" outline="0" showAll="0"/>
    <pivotField compact="0" outline="0" showAll="0"/>
    <pivotField axis="axisRow" compact="0" numFmtId="22" outline="0" showAll="0">
      <items count="15">
        <item x="0"/>
        <item x="1"/>
        <item x="2"/>
        <item x="3"/>
        <item x="4"/>
        <item x="5"/>
        <item x="6"/>
        <item x="7"/>
        <item x="8"/>
        <item x="9"/>
        <item x="10"/>
        <item x="11"/>
        <item x="12"/>
        <item x="13"/>
        <item t="default"/>
      </items>
    </pivotField>
    <pivotField compact="0" outline="0" showAll="0">
      <items count="8">
        <item x="6"/>
        <item x="2"/>
        <item x="1"/>
        <item x="5"/>
        <item x="3"/>
        <item x="0"/>
        <item x="4"/>
        <item t="default"/>
      </items>
    </pivotField>
    <pivotField compact="0" outline="0" showAll="0"/>
    <pivotField compact="0" outline="0" showAll="0"/>
    <pivotField compact="0" outline="0" showAll="0"/>
    <pivotField dataField="1" compact="0" outline="0" showAll="0"/>
  </pivotFields>
  <rowFields count="1">
    <field x="4"/>
  </rowFields>
  <rowItems count="12">
    <i>
      <x v="1"/>
    </i>
    <i>
      <x v="2"/>
    </i>
    <i>
      <x v="3"/>
    </i>
    <i>
      <x v="4"/>
    </i>
    <i>
      <x v="5"/>
    </i>
    <i>
      <x v="6"/>
    </i>
    <i>
      <x v="7"/>
    </i>
    <i>
      <x v="8"/>
    </i>
    <i>
      <x v="9"/>
    </i>
    <i>
      <x v="10"/>
    </i>
    <i>
      <x v="11"/>
    </i>
    <i>
      <x v="12"/>
    </i>
  </rowItems>
  <colItems count="1">
    <i/>
  </colItems>
  <dataFields count="1">
    <dataField name="Sum of Total" fld="9" baseField="0" baseItem="0" numFmtId="167"/>
  </dataFields>
  <formats count="11">
    <format dxfId="1789">
      <pivotArea type="all" dataOnly="0" outline="0" fieldPosition="0"/>
    </format>
    <format dxfId="1788">
      <pivotArea outline="0" collapsedLevelsAreSubtotals="1" fieldPosition="0"/>
    </format>
    <format dxfId="1787">
      <pivotArea outline="0" collapsedLevelsAreSubtotals="1" fieldPosition="0"/>
    </format>
    <format dxfId="1786">
      <pivotArea type="all" dataOnly="0" outline="0" fieldPosition="0"/>
    </format>
    <format dxfId="1785">
      <pivotArea outline="0" collapsedLevelsAreSubtotals="1" fieldPosition="0"/>
    </format>
    <format dxfId="1784">
      <pivotArea field="5" type="button" dataOnly="0" labelOnly="1" outline="0"/>
    </format>
    <format dxfId="1783">
      <pivotArea dataOnly="0" labelOnly="1" outline="0" axis="axisValues" fieldPosition="0"/>
    </format>
    <format dxfId="1782">
      <pivotArea type="all" dataOnly="0" outline="0" fieldPosition="0"/>
    </format>
    <format dxfId="1781">
      <pivotArea outline="0" collapsedLevelsAreSubtotals="1" fieldPosition="0"/>
    </format>
    <format dxfId="1780">
      <pivotArea field="4" type="button" dataOnly="0" labelOnly="1" outline="0" axis="axisRow" fieldPosition="0"/>
    </format>
    <format dxfId="177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4" count="1" selected="0">
            <x v="1"/>
          </reference>
        </references>
      </pivotArea>
    </chartFormat>
    <chartFormat chart="2" format="16">
      <pivotArea type="data" outline="0" fieldPosition="0">
        <references count="2">
          <reference field="4294967294" count="1" selected="0">
            <x v="0"/>
          </reference>
          <reference field="4" count="1" selected="0">
            <x v="2"/>
          </reference>
        </references>
      </pivotArea>
    </chartFormat>
    <chartFormat chart="2" format="17">
      <pivotArea type="data" outline="0" fieldPosition="0">
        <references count="2">
          <reference field="4294967294" count="1" selected="0">
            <x v="0"/>
          </reference>
          <reference field="4" count="1" selected="0">
            <x v="3"/>
          </reference>
        </references>
      </pivotArea>
    </chartFormat>
    <chartFormat chart="2" format="18">
      <pivotArea type="data" outline="0" fieldPosition="0">
        <references count="2">
          <reference field="4294967294" count="1" selected="0">
            <x v="0"/>
          </reference>
          <reference field="4" count="1" selected="0">
            <x v="4"/>
          </reference>
        </references>
      </pivotArea>
    </chartFormat>
    <chartFormat chart="2" format="19">
      <pivotArea type="data" outline="0" fieldPosition="0">
        <references count="2">
          <reference field="4294967294" count="1" selected="0">
            <x v="0"/>
          </reference>
          <reference field="4" count="1" selected="0">
            <x v="5"/>
          </reference>
        </references>
      </pivotArea>
    </chartFormat>
    <chartFormat chart="2" format="20">
      <pivotArea type="data" outline="0" fieldPosition="0">
        <references count="2">
          <reference field="4294967294" count="1" selected="0">
            <x v="0"/>
          </reference>
          <reference field="4" count="1" selected="0">
            <x v="6"/>
          </reference>
        </references>
      </pivotArea>
    </chartFormat>
    <chartFormat chart="2" format="21">
      <pivotArea type="data" outline="0" fieldPosition="0">
        <references count="2">
          <reference field="4294967294" count="1" selected="0">
            <x v="0"/>
          </reference>
          <reference field="4" count="1" selected="0">
            <x v="7"/>
          </reference>
        </references>
      </pivotArea>
    </chartFormat>
    <chartFormat chart="2" format="22">
      <pivotArea type="data" outline="0" fieldPosition="0">
        <references count="2">
          <reference field="4294967294" count="1" selected="0">
            <x v="0"/>
          </reference>
          <reference field="4" count="1" selected="0">
            <x v="8"/>
          </reference>
        </references>
      </pivotArea>
    </chartFormat>
    <chartFormat chart="2" format="23">
      <pivotArea type="data" outline="0" fieldPosition="0">
        <references count="2">
          <reference field="4294967294" count="1" selected="0">
            <x v="0"/>
          </reference>
          <reference field="4" count="1" selected="0">
            <x v="9"/>
          </reference>
        </references>
      </pivotArea>
    </chartFormat>
    <chartFormat chart="2" format="24">
      <pivotArea type="data" outline="0" fieldPosition="0">
        <references count="2">
          <reference field="4294967294" count="1" selected="0">
            <x v="0"/>
          </reference>
          <reference field="4" count="1" selected="0">
            <x v="10"/>
          </reference>
        </references>
      </pivotArea>
    </chartFormat>
    <chartFormat chart="2" format="25">
      <pivotArea type="data" outline="0" fieldPosition="0">
        <references count="2">
          <reference field="4294967294" count="1" selected="0">
            <x v="0"/>
          </reference>
          <reference field="4" count="1" selected="0">
            <x v="11"/>
          </reference>
        </references>
      </pivotArea>
    </chartFormat>
    <chartFormat chart="2" format="26">
      <pivotArea type="data" outline="0" fieldPosition="0">
        <references count="2">
          <reference field="4294967294" count="1" selected="0">
            <x v="0"/>
          </reference>
          <reference field="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1">
    <queryTableFields count="10">
      <queryTableField id="1" name="Company Name" tableColumnId="20"/>
      <queryTableField id="2" name="Location" tableColumnId="21"/>
      <queryTableField id="3" name="Sales Person" tableColumnId="22"/>
      <queryTableField id="4" name="Order ID" tableColumnId="23"/>
      <queryTableField id="5" name="Sales Date" tableColumnId="24"/>
      <queryTableField id="6" name="Days" tableColumnId="25"/>
      <queryTableField id="7" name="Product Name" tableColumnId="26"/>
      <queryTableField id="8" name="Unit Price" tableColumnId="27"/>
      <queryTableField id="9" name="Quantity" tableColumnId="28"/>
      <queryTableField id="10" name="Total"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3" name="PivotTable6"/>
    <pivotTable tabId="3" name="PivotTable4"/>
    <pivotTable tabId="3" name="PivotTable5"/>
    <pivotTable tabId="3" name="PivotTable7"/>
    <pivotTable tabId="3" name="PivotTable8"/>
    <pivotTable tabId="3" name="PivotTable9"/>
  </pivotTables>
  <data>
    <tabular pivotCacheId="1">
      <items count="5">
        <i x="0" s="1"/>
        <i x="2"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mpany_Name" sourceName="Company Name">
  <pivotTables>
    <pivotTable tabId="3" name="PivotTable6"/>
    <pivotTable tabId="3" name="PivotTable4"/>
    <pivotTable tabId="3" name="PivotTable5"/>
    <pivotTable tabId="3" name="PivotTable7"/>
    <pivotTable tabId="3" name="PivotTable8"/>
    <pivotTable tabId="3" name="PivotTable9"/>
  </pivotTables>
  <data>
    <tabular pivotCacheId="1">
      <items count="5">
        <i x="4" s="1"/>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mpany Name" cache="Slicer_Company_Name" caption="Company Name"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Location" cache="Slicer_Location" caption="Location" style="SlicerStyleDark6" rowHeight="234950"/>
  <slicer name="Company Name 1" cache="Slicer_Company_Name" caption="Company Name" style="SlicerStyleDark6"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J36" totalsRowCount="1" headerRowDxfId="1835" headerRowBorderDxfId="1834" tableBorderDxfId="1833" totalsRowBorderDxfId="1832">
  <autoFilter ref="A1:J35"/>
  <tableColumns count="10">
    <tableColumn id="1" name="Company Name" dataDxfId="1831" totalsRowDxfId="1830"/>
    <tableColumn id="2" name="Location" dataDxfId="1829" totalsRowDxfId="1828"/>
    <tableColumn id="3" name="Sales Person" dataDxfId="1827" totalsRowDxfId="1826"/>
    <tableColumn id="4" name="Order ID" dataDxfId="1825" totalsRowDxfId="1824"/>
    <tableColumn id="5" name="Sales Date" dataDxfId="1823" totalsRowDxfId="1822"/>
    <tableColumn id="6" name="Days" dataDxfId="1821" totalsRowDxfId="1820">
      <calculatedColumnFormula>TEXT(E2,"ddd")</calculatedColumnFormula>
    </tableColumn>
    <tableColumn id="7" name="Product Name" dataDxfId="1819" totalsRowDxfId="1818"/>
    <tableColumn id="8" name="Unit Price" dataDxfId="1817" totalsRowDxfId="1816"/>
    <tableColumn id="9" name="Quantity" dataDxfId="1815" totalsRowDxfId="1814">
      <calculatedColumnFormula>RANDBETWEEN(1,10)</calculatedColumnFormula>
    </tableColumn>
    <tableColumn id="10" name="Total" dataDxfId="1813" totalsRowDxfId="1812">
      <calculatedColumnFormula>H2*I2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1_2" displayName="Table1_2" ref="A1:J36" tableType="queryTable" totalsRowCount="1" headerRowDxfId="1811" dataDxfId="1810">
  <autoFilter ref="A1:J35"/>
  <tableColumns count="10">
    <tableColumn id="20" uniqueName="20" name="Company Name" queryTableFieldId="1" dataDxfId="1809" totalsRowDxfId="1808"/>
    <tableColumn id="21" uniqueName="21" name="Location" queryTableFieldId="2" dataDxfId="1807" totalsRowDxfId="1806"/>
    <tableColumn id="22" uniqueName="22" name="Sales Person" queryTableFieldId="3" dataDxfId="1805" totalsRowDxfId="1804"/>
    <tableColumn id="23" uniqueName="23" name="Order ID" queryTableFieldId="4" dataDxfId="1803" totalsRowDxfId="1802"/>
    <tableColumn id="24" uniqueName="24" name="Sales Date" queryTableFieldId="5" dataDxfId="1801" totalsRowDxfId="1800"/>
    <tableColumn id="25" uniqueName="25" name="Days" queryTableFieldId="6" dataDxfId="1799" totalsRowDxfId="1798"/>
    <tableColumn id="26" uniqueName="26" name="Product Name" queryTableFieldId="7" dataDxfId="1797" totalsRowDxfId="1796"/>
    <tableColumn id="27" uniqueName="27" name="Unit Price" queryTableFieldId="8" dataDxfId="1795" totalsRowDxfId="1794"/>
    <tableColumn id="28" uniqueName="28" name="Quantity" queryTableFieldId="9" dataDxfId="1793" totalsRowDxfId="1792"/>
    <tableColumn id="29" uniqueName="29" name="Total" totalsRowFunction="custom" queryTableFieldId="10" dataDxfId="1791" totalsRowDxfId="1790">
      <totalsRowFormula>SUM(Table1_2[Total])</totalsRowFormula>
    </tableColumn>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selection activeCell="C17" sqref="C17"/>
    </sheetView>
  </sheetViews>
  <sheetFormatPr defaultRowHeight="14.4" x14ac:dyDescent="0.3"/>
  <cols>
    <col min="1" max="1" width="16.5546875" customWidth="1"/>
    <col min="2" max="2" width="10.44140625" customWidth="1"/>
    <col min="3" max="3" width="14.33203125" customWidth="1"/>
    <col min="4" max="4" width="10.33203125" customWidth="1"/>
    <col min="5" max="5" width="12.109375" customWidth="1"/>
    <col min="7" max="7" width="15.33203125" customWidth="1"/>
    <col min="8" max="8" width="11.44140625" customWidth="1"/>
    <col min="9" max="9" width="10.33203125" customWidth="1"/>
    <col min="10" max="10" width="10.109375" bestFit="1" customWidth="1"/>
  </cols>
  <sheetData>
    <row r="1" spans="1:10" x14ac:dyDescent="0.3">
      <c r="A1" s="6" t="s">
        <v>0</v>
      </c>
      <c r="B1" s="7" t="s">
        <v>1</v>
      </c>
      <c r="C1" s="7" t="s">
        <v>2</v>
      </c>
      <c r="D1" s="7" t="s">
        <v>3</v>
      </c>
      <c r="E1" s="7" t="s">
        <v>4</v>
      </c>
      <c r="F1" s="7" t="s">
        <v>5</v>
      </c>
      <c r="G1" s="7" t="s">
        <v>6</v>
      </c>
      <c r="H1" s="7" t="s">
        <v>7</v>
      </c>
      <c r="I1" s="7" t="s">
        <v>8</v>
      </c>
      <c r="J1" s="8" t="s">
        <v>9</v>
      </c>
    </row>
    <row r="2" spans="1:10" x14ac:dyDescent="0.3">
      <c r="A2" s="4" t="s">
        <v>10</v>
      </c>
      <c r="B2" s="1" t="s">
        <v>11</v>
      </c>
      <c r="C2" s="1" t="s">
        <v>12</v>
      </c>
      <c r="D2" s="1">
        <v>100</v>
      </c>
      <c r="E2" s="2">
        <v>40193</v>
      </c>
      <c r="F2" s="2" t="str">
        <f>TEXT(E2,"ddd")</f>
        <v>Fri</v>
      </c>
      <c r="G2" s="1" t="s">
        <v>13</v>
      </c>
      <c r="H2" s="3">
        <v>100</v>
      </c>
      <c r="I2" s="1">
        <v>4</v>
      </c>
      <c r="J2" s="5">
        <f t="shared" ref="J2:J35" si="0">H2*I2</f>
        <v>400</v>
      </c>
    </row>
    <row r="3" spans="1:10" x14ac:dyDescent="0.3">
      <c r="A3" s="4" t="s">
        <v>10</v>
      </c>
      <c r="B3" s="1" t="s">
        <v>11</v>
      </c>
      <c r="C3" s="1" t="s">
        <v>12</v>
      </c>
      <c r="D3" s="1">
        <v>101</v>
      </c>
      <c r="E3" s="2">
        <v>40193</v>
      </c>
      <c r="F3" s="2" t="str">
        <f t="shared" ref="F3:F35" si="1">TEXT(E3,"ddd")</f>
        <v>Fri</v>
      </c>
      <c r="G3" s="1" t="s">
        <v>13</v>
      </c>
      <c r="H3" s="3">
        <v>100</v>
      </c>
      <c r="I3" s="1">
        <v>10</v>
      </c>
      <c r="J3" s="5">
        <f t="shared" si="0"/>
        <v>1000</v>
      </c>
    </row>
    <row r="4" spans="1:10" x14ac:dyDescent="0.3">
      <c r="A4" s="4" t="s">
        <v>10</v>
      </c>
      <c r="B4" s="1" t="s">
        <v>11</v>
      </c>
      <c r="C4" s="1" t="s">
        <v>12</v>
      </c>
      <c r="D4" s="1">
        <v>102</v>
      </c>
      <c r="E4" s="2">
        <v>40253</v>
      </c>
      <c r="F4" s="2" t="str">
        <f t="shared" si="1"/>
        <v>Tue</v>
      </c>
      <c r="G4" s="1" t="s">
        <v>13</v>
      </c>
      <c r="H4" s="3">
        <v>100</v>
      </c>
      <c r="I4" s="1">
        <v>10</v>
      </c>
      <c r="J4" s="5">
        <f t="shared" si="0"/>
        <v>1000</v>
      </c>
    </row>
    <row r="5" spans="1:10" x14ac:dyDescent="0.3">
      <c r="A5" s="4" t="s">
        <v>10</v>
      </c>
      <c r="B5" s="1" t="s">
        <v>11</v>
      </c>
      <c r="C5" s="1" t="s">
        <v>12</v>
      </c>
      <c r="D5" s="1">
        <v>103</v>
      </c>
      <c r="E5" s="2">
        <v>40277</v>
      </c>
      <c r="F5" s="2" t="str">
        <f t="shared" si="1"/>
        <v>Fri</v>
      </c>
      <c r="G5" s="1" t="s">
        <v>13</v>
      </c>
      <c r="H5" s="3">
        <v>100</v>
      </c>
      <c r="I5" s="1">
        <v>4</v>
      </c>
      <c r="J5" s="5">
        <f t="shared" si="0"/>
        <v>400</v>
      </c>
    </row>
    <row r="6" spans="1:10" x14ac:dyDescent="0.3">
      <c r="A6" s="4" t="s">
        <v>10</v>
      </c>
      <c r="B6" s="1" t="s">
        <v>11</v>
      </c>
      <c r="C6" s="1" t="s">
        <v>14</v>
      </c>
      <c r="D6" s="1">
        <v>104</v>
      </c>
      <c r="E6" s="2">
        <v>40308</v>
      </c>
      <c r="F6" s="2" t="str">
        <f t="shared" si="1"/>
        <v>Mon</v>
      </c>
      <c r="G6" s="1" t="s">
        <v>15</v>
      </c>
      <c r="H6" s="3">
        <v>80</v>
      </c>
      <c r="I6" s="1">
        <v>2</v>
      </c>
      <c r="J6" s="5">
        <f t="shared" si="0"/>
        <v>160</v>
      </c>
    </row>
    <row r="7" spans="1:10" ht="27" x14ac:dyDescent="0.3">
      <c r="A7" s="4" t="s">
        <v>10</v>
      </c>
      <c r="B7" s="1" t="s">
        <v>11</v>
      </c>
      <c r="C7" s="1" t="s">
        <v>16</v>
      </c>
      <c r="D7" s="1">
        <v>105</v>
      </c>
      <c r="E7" s="2">
        <v>40344</v>
      </c>
      <c r="F7" s="2" t="str">
        <f t="shared" si="1"/>
        <v>Tue</v>
      </c>
      <c r="G7" s="1" t="s">
        <v>17</v>
      </c>
      <c r="H7" s="3">
        <v>120</v>
      </c>
      <c r="I7" s="1">
        <v>1</v>
      </c>
      <c r="J7" s="5">
        <f t="shared" si="0"/>
        <v>120</v>
      </c>
    </row>
    <row r="8" spans="1:10" ht="27" x14ac:dyDescent="0.3">
      <c r="A8" s="4" t="s">
        <v>10</v>
      </c>
      <c r="B8" s="1" t="s">
        <v>11</v>
      </c>
      <c r="C8" s="1" t="s">
        <v>16</v>
      </c>
      <c r="D8" s="1">
        <v>106</v>
      </c>
      <c r="E8" s="2">
        <v>40381</v>
      </c>
      <c r="F8" s="2" t="str">
        <f t="shared" si="1"/>
        <v>Thu</v>
      </c>
      <c r="G8" s="1" t="s">
        <v>17</v>
      </c>
      <c r="H8" s="3">
        <v>120</v>
      </c>
      <c r="I8" s="1">
        <v>4</v>
      </c>
      <c r="J8" s="5">
        <f t="shared" si="0"/>
        <v>480</v>
      </c>
    </row>
    <row r="9" spans="1:10" ht="27" x14ac:dyDescent="0.3">
      <c r="A9" s="4" t="s">
        <v>10</v>
      </c>
      <c r="B9" s="1" t="s">
        <v>11</v>
      </c>
      <c r="C9" s="1" t="s">
        <v>16</v>
      </c>
      <c r="D9" s="1">
        <v>107</v>
      </c>
      <c r="E9" s="2">
        <v>40400</v>
      </c>
      <c r="F9" s="2" t="str">
        <f t="shared" si="1"/>
        <v>Tue</v>
      </c>
      <c r="G9" s="1" t="s">
        <v>15</v>
      </c>
      <c r="H9" s="3">
        <v>80</v>
      </c>
      <c r="I9" s="1">
        <v>8</v>
      </c>
      <c r="J9" s="5">
        <f t="shared" si="0"/>
        <v>640</v>
      </c>
    </row>
    <row r="10" spans="1:10" x14ac:dyDescent="0.3">
      <c r="A10" s="4" t="s">
        <v>10</v>
      </c>
      <c r="B10" s="1" t="s">
        <v>11</v>
      </c>
      <c r="C10" s="1" t="s">
        <v>14</v>
      </c>
      <c r="D10" s="1">
        <v>108</v>
      </c>
      <c r="E10" s="2">
        <v>40431</v>
      </c>
      <c r="F10" s="2" t="str">
        <f t="shared" si="1"/>
        <v>Fri</v>
      </c>
      <c r="G10" s="1" t="s">
        <v>15</v>
      </c>
      <c r="H10" s="3">
        <v>80</v>
      </c>
      <c r="I10" s="1">
        <v>5</v>
      </c>
      <c r="J10" s="5">
        <f t="shared" si="0"/>
        <v>400</v>
      </c>
    </row>
    <row r="11" spans="1:10" x14ac:dyDescent="0.3">
      <c r="A11" s="4" t="s">
        <v>10</v>
      </c>
      <c r="B11" s="1" t="s">
        <v>11</v>
      </c>
      <c r="C11" s="1" t="s">
        <v>14</v>
      </c>
      <c r="D11" s="1">
        <v>109</v>
      </c>
      <c r="E11" s="2">
        <v>40462</v>
      </c>
      <c r="F11" s="2" t="str">
        <f t="shared" si="1"/>
        <v>Mon</v>
      </c>
      <c r="G11" s="1" t="s">
        <v>13</v>
      </c>
      <c r="H11" s="3">
        <v>100</v>
      </c>
      <c r="I11" s="1">
        <v>1</v>
      </c>
      <c r="J11" s="5">
        <f t="shared" si="0"/>
        <v>100</v>
      </c>
    </row>
    <row r="12" spans="1:10" ht="27" x14ac:dyDescent="0.3">
      <c r="A12" s="4" t="s">
        <v>18</v>
      </c>
      <c r="B12" s="1" t="s">
        <v>19</v>
      </c>
      <c r="C12" s="1" t="s">
        <v>14</v>
      </c>
      <c r="D12" s="1">
        <v>110</v>
      </c>
      <c r="E12" s="2">
        <v>40491</v>
      </c>
      <c r="F12" s="2" t="str">
        <f t="shared" si="1"/>
        <v>Tue</v>
      </c>
      <c r="G12" s="1" t="s">
        <v>15</v>
      </c>
      <c r="H12" s="3">
        <v>80</v>
      </c>
      <c r="I12" s="1">
        <v>20</v>
      </c>
      <c r="J12" s="5">
        <f t="shared" si="0"/>
        <v>1600</v>
      </c>
    </row>
    <row r="13" spans="1:10" ht="27" x14ac:dyDescent="0.3">
      <c r="A13" s="4" t="s">
        <v>18</v>
      </c>
      <c r="B13" s="1" t="s">
        <v>19</v>
      </c>
      <c r="C13" s="1" t="s">
        <v>16</v>
      </c>
      <c r="D13" s="1">
        <v>111</v>
      </c>
      <c r="E13" s="2">
        <v>40537</v>
      </c>
      <c r="F13" s="2" t="str">
        <f t="shared" si="1"/>
        <v>Sat</v>
      </c>
      <c r="G13" s="1" t="s">
        <v>15</v>
      </c>
      <c r="H13" s="3">
        <v>80</v>
      </c>
      <c r="I13" s="1">
        <v>10</v>
      </c>
      <c r="J13" s="5">
        <f t="shared" si="0"/>
        <v>800</v>
      </c>
    </row>
    <row r="14" spans="1:10" ht="27" x14ac:dyDescent="0.3">
      <c r="A14" s="4" t="s">
        <v>18</v>
      </c>
      <c r="B14" s="1" t="s">
        <v>19</v>
      </c>
      <c r="C14" s="1" t="s">
        <v>16</v>
      </c>
      <c r="D14" s="1">
        <v>112</v>
      </c>
      <c r="E14" s="2">
        <v>40544</v>
      </c>
      <c r="F14" s="2" t="str">
        <f t="shared" si="1"/>
        <v>Sat</v>
      </c>
      <c r="G14" s="1" t="s">
        <v>15</v>
      </c>
      <c r="H14" s="3">
        <v>80</v>
      </c>
      <c r="I14" s="1">
        <f ca="1">RANDBETWEEN(1,10)</f>
        <v>9</v>
      </c>
      <c r="J14" s="5">
        <f t="shared" ca="1" si="0"/>
        <v>720</v>
      </c>
    </row>
    <row r="15" spans="1:10" ht="27" x14ac:dyDescent="0.3">
      <c r="A15" s="4" t="s">
        <v>18</v>
      </c>
      <c r="B15" s="1" t="s">
        <v>19</v>
      </c>
      <c r="C15" s="1" t="s">
        <v>16</v>
      </c>
      <c r="D15" s="1">
        <v>113</v>
      </c>
      <c r="E15" s="2">
        <v>40576</v>
      </c>
      <c r="F15" s="2" t="str">
        <f t="shared" si="1"/>
        <v>Wed</v>
      </c>
      <c r="G15" s="1" t="s">
        <v>15</v>
      </c>
      <c r="H15" s="3">
        <v>80</v>
      </c>
      <c r="I15" s="1">
        <v>3</v>
      </c>
      <c r="J15" s="5">
        <f t="shared" si="0"/>
        <v>240</v>
      </c>
    </row>
    <row r="16" spans="1:10" ht="27" x14ac:dyDescent="0.3">
      <c r="A16" s="4" t="s">
        <v>18</v>
      </c>
      <c r="B16" s="1" t="s">
        <v>19</v>
      </c>
      <c r="C16" s="1" t="s">
        <v>20</v>
      </c>
      <c r="D16" s="1">
        <v>114</v>
      </c>
      <c r="E16" s="2">
        <v>40605</v>
      </c>
      <c r="F16" s="2" t="str">
        <f t="shared" si="1"/>
        <v>Thu</v>
      </c>
      <c r="G16" s="1" t="s">
        <v>17</v>
      </c>
      <c r="H16" s="3">
        <v>120</v>
      </c>
      <c r="I16" s="1">
        <v>20</v>
      </c>
      <c r="J16" s="5">
        <f t="shared" si="0"/>
        <v>2400</v>
      </c>
    </row>
    <row r="17" spans="1:10" ht="27" x14ac:dyDescent="0.3">
      <c r="A17" s="4" t="s">
        <v>21</v>
      </c>
      <c r="B17" s="1" t="s">
        <v>22</v>
      </c>
      <c r="C17" s="1" t="s">
        <v>20</v>
      </c>
      <c r="D17" s="1">
        <v>115</v>
      </c>
      <c r="E17" s="2">
        <v>40637</v>
      </c>
      <c r="F17" s="2" t="str">
        <f t="shared" si="1"/>
        <v>Mon</v>
      </c>
      <c r="G17" s="1" t="s">
        <v>17</v>
      </c>
      <c r="H17" s="3">
        <v>120</v>
      </c>
      <c r="I17" s="1">
        <v>6</v>
      </c>
      <c r="J17" s="5">
        <f t="shared" si="0"/>
        <v>720</v>
      </c>
    </row>
    <row r="18" spans="1:10" ht="27" x14ac:dyDescent="0.3">
      <c r="A18" s="4" t="s">
        <v>21</v>
      </c>
      <c r="B18" s="1" t="s">
        <v>22</v>
      </c>
      <c r="C18" s="1" t="s">
        <v>20</v>
      </c>
      <c r="D18" s="1">
        <v>116</v>
      </c>
      <c r="E18" s="2">
        <v>40668</v>
      </c>
      <c r="F18" s="2" t="str">
        <f t="shared" si="1"/>
        <v>Thu</v>
      </c>
      <c r="G18" s="1" t="s">
        <v>17</v>
      </c>
      <c r="H18" s="3">
        <v>120</v>
      </c>
      <c r="I18" s="1">
        <v>40</v>
      </c>
      <c r="J18" s="5">
        <f t="shared" si="0"/>
        <v>4800</v>
      </c>
    </row>
    <row r="19" spans="1:10" ht="27" x14ac:dyDescent="0.3">
      <c r="A19" s="4" t="s">
        <v>21</v>
      </c>
      <c r="B19" s="1" t="s">
        <v>22</v>
      </c>
      <c r="C19" s="1" t="s">
        <v>20</v>
      </c>
      <c r="D19" s="1">
        <v>117</v>
      </c>
      <c r="E19" s="2">
        <v>40700</v>
      </c>
      <c r="F19" s="2" t="str">
        <f t="shared" si="1"/>
        <v>Mon</v>
      </c>
      <c r="G19" s="1" t="s">
        <v>17</v>
      </c>
      <c r="H19" s="3">
        <v>120</v>
      </c>
      <c r="I19" s="1">
        <v>2</v>
      </c>
      <c r="J19" s="5">
        <f t="shared" si="0"/>
        <v>240</v>
      </c>
    </row>
    <row r="20" spans="1:10" ht="27" x14ac:dyDescent="0.3">
      <c r="A20" s="4" t="s">
        <v>21</v>
      </c>
      <c r="B20" s="1" t="s">
        <v>22</v>
      </c>
      <c r="C20" s="1" t="s">
        <v>20</v>
      </c>
      <c r="D20" s="1">
        <v>118</v>
      </c>
      <c r="E20" s="2">
        <v>40924</v>
      </c>
      <c r="F20" s="2" t="str">
        <f t="shared" si="1"/>
        <v>Mon</v>
      </c>
      <c r="G20" s="1" t="s">
        <v>17</v>
      </c>
      <c r="H20" s="3">
        <v>6</v>
      </c>
      <c r="I20" s="1">
        <f t="shared" ref="I20:I35" ca="1" si="2">RANDBETWEEN(1,10)</f>
        <v>5</v>
      </c>
      <c r="J20" s="5">
        <f t="shared" ca="1" si="0"/>
        <v>30</v>
      </c>
    </row>
    <row r="21" spans="1:10" ht="27" x14ac:dyDescent="0.3">
      <c r="A21" s="4" t="s">
        <v>21</v>
      </c>
      <c r="B21" s="1" t="s">
        <v>22</v>
      </c>
      <c r="C21" s="1" t="s">
        <v>20</v>
      </c>
      <c r="D21" s="1">
        <v>119</v>
      </c>
      <c r="E21" s="2">
        <v>40925</v>
      </c>
      <c r="F21" s="2" t="str">
        <f t="shared" si="1"/>
        <v>Tue</v>
      </c>
      <c r="G21" s="1" t="s">
        <v>23</v>
      </c>
      <c r="H21" s="3">
        <v>150</v>
      </c>
      <c r="I21" s="1">
        <f t="shared" ca="1" si="2"/>
        <v>5</v>
      </c>
      <c r="J21" s="5">
        <f t="shared" ca="1" si="0"/>
        <v>750</v>
      </c>
    </row>
    <row r="22" spans="1:10" ht="27" x14ac:dyDescent="0.3">
      <c r="A22" s="4" t="s">
        <v>21</v>
      </c>
      <c r="B22" s="1" t="s">
        <v>22</v>
      </c>
      <c r="C22" s="1" t="s">
        <v>20</v>
      </c>
      <c r="D22" s="1">
        <v>120</v>
      </c>
      <c r="E22" s="2">
        <v>40926</v>
      </c>
      <c r="F22" s="2" t="str">
        <f t="shared" si="1"/>
        <v>Wed</v>
      </c>
      <c r="G22" s="1" t="s">
        <v>23</v>
      </c>
      <c r="H22" s="3">
        <v>150</v>
      </c>
      <c r="I22" s="1">
        <f t="shared" ca="1" si="2"/>
        <v>1</v>
      </c>
      <c r="J22" s="5">
        <f t="shared" ca="1" si="0"/>
        <v>150</v>
      </c>
    </row>
    <row r="23" spans="1:10" ht="27" x14ac:dyDescent="0.3">
      <c r="A23" s="4" t="s">
        <v>21</v>
      </c>
      <c r="B23" s="1" t="s">
        <v>22</v>
      </c>
      <c r="C23" s="1" t="s">
        <v>14</v>
      </c>
      <c r="D23" s="1">
        <v>121</v>
      </c>
      <c r="E23" s="2">
        <v>40927</v>
      </c>
      <c r="F23" s="2" t="str">
        <f t="shared" si="1"/>
        <v>Thu</v>
      </c>
      <c r="G23" s="1" t="s">
        <v>23</v>
      </c>
      <c r="H23" s="3">
        <v>150</v>
      </c>
      <c r="I23" s="1">
        <f t="shared" ca="1" si="2"/>
        <v>4</v>
      </c>
      <c r="J23" s="5">
        <f t="shared" ca="1" si="0"/>
        <v>600</v>
      </c>
    </row>
    <row r="24" spans="1:10" ht="27" x14ac:dyDescent="0.3">
      <c r="A24" s="4" t="s">
        <v>21</v>
      </c>
      <c r="B24" s="1" t="s">
        <v>22</v>
      </c>
      <c r="C24" s="1" t="s">
        <v>14</v>
      </c>
      <c r="D24" s="1">
        <v>122</v>
      </c>
      <c r="E24" s="2">
        <v>40928</v>
      </c>
      <c r="F24" s="2" t="str">
        <f t="shared" si="1"/>
        <v>Fri</v>
      </c>
      <c r="G24" s="1" t="s">
        <v>23</v>
      </c>
      <c r="H24" s="3">
        <v>150</v>
      </c>
      <c r="I24" s="1">
        <f t="shared" ca="1" si="2"/>
        <v>4</v>
      </c>
      <c r="J24" s="5">
        <f t="shared" ca="1" si="0"/>
        <v>600</v>
      </c>
    </row>
    <row r="25" spans="1:10" ht="27" x14ac:dyDescent="0.3">
      <c r="A25" s="4" t="s">
        <v>21</v>
      </c>
      <c r="B25" s="1" t="s">
        <v>22</v>
      </c>
      <c r="C25" s="1" t="s">
        <v>14</v>
      </c>
      <c r="D25" s="1">
        <v>123</v>
      </c>
      <c r="E25" s="2">
        <v>40929</v>
      </c>
      <c r="F25" s="2" t="str">
        <f t="shared" si="1"/>
        <v>Sat</v>
      </c>
      <c r="G25" s="1" t="s">
        <v>23</v>
      </c>
      <c r="H25" s="3">
        <v>150</v>
      </c>
      <c r="I25" s="1">
        <f t="shared" ca="1" si="2"/>
        <v>1</v>
      </c>
      <c r="J25" s="5">
        <f t="shared" ca="1" si="0"/>
        <v>150</v>
      </c>
    </row>
    <row r="26" spans="1:10" x14ac:dyDescent="0.3">
      <c r="A26" s="4" t="s">
        <v>24</v>
      </c>
      <c r="B26" s="1" t="s">
        <v>25</v>
      </c>
      <c r="C26" s="1" t="s">
        <v>26</v>
      </c>
      <c r="D26" s="1">
        <v>124</v>
      </c>
      <c r="E26" s="2">
        <v>40930</v>
      </c>
      <c r="F26" s="2" t="str">
        <f t="shared" si="1"/>
        <v>Sun</v>
      </c>
      <c r="G26" s="1" t="s">
        <v>13</v>
      </c>
      <c r="H26" s="3">
        <v>100</v>
      </c>
      <c r="I26" s="1">
        <f t="shared" ca="1" si="2"/>
        <v>6</v>
      </c>
      <c r="J26" s="5">
        <f t="shared" ca="1" si="0"/>
        <v>600</v>
      </c>
    </row>
    <row r="27" spans="1:10" x14ac:dyDescent="0.3">
      <c r="A27" s="4" t="s">
        <v>24</v>
      </c>
      <c r="B27" s="1" t="s">
        <v>25</v>
      </c>
      <c r="C27" s="1" t="s">
        <v>27</v>
      </c>
      <c r="D27" s="1">
        <v>125</v>
      </c>
      <c r="E27" s="2">
        <v>40931</v>
      </c>
      <c r="F27" s="2" t="str">
        <f t="shared" si="1"/>
        <v>Mon</v>
      </c>
      <c r="G27" s="1" t="s">
        <v>13</v>
      </c>
      <c r="H27" s="3">
        <v>100</v>
      </c>
      <c r="I27" s="1">
        <f t="shared" ca="1" si="2"/>
        <v>1</v>
      </c>
      <c r="J27" s="5">
        <f t="shared" ca="1" si="0"/>
        <v>100</v>
      </c>
    </row>
    <row r="28" spans="1:10" x14ac:dyDescent="0.3">
      <c r="A28" s="4" t="s">
        <v>24</v>
      </c>
      <c r="B28" s="1" t="s">
        <v>25</v>
      </c>
      <c r="C28" s="1" t="s">
        <v>26</v>
      </c>
      <c r="D28" s="1">
        <v>126</v>
      </c>
      <c r="E28" s="2">
        <v>40932</v>
      </c>
      <c r="F28" s="2" t="str">
        <f t="shared" si="1"/>
        <v>Tue</v>
      </c>
      <c r="G28" s="1" t="s">
        <v>13</v>
      </c>
      <c r="H28" s="3">
        <v>100</v>
      </c>
      <c r="I28" s="1">
        <f t="shared" ca="1" si="2"/>
        <v>9</v>
      </c>
      <c r="J28" s="5">
        <f t="shared" ca="1" si="0"/>
        <v>900</v>
      </c>
    </row>
    <row r="29" spans="1:10" x14ac:dyDescent="0.3">
      <c r="A29" s="4" t="s">
        <v>24</v>
      </c>
      <c r="B29" s="1" t="s">
        <v>25</v>
      </c>
      <c r="C29" s="1" t="s">
        <v>26</v>
      </c>
      <c r="D29" s="1">
        <v>127</v>
      </c>
      <c r="E29" s="2">
        <v>40933</v>
      </c>
      <c r="F29" s="2" t="str">
        <f t="shared" si="1"/>
        <v>Wed</v>
      </c>
      <c r="G29" s="1" t="s">
        <v>13</v>
      </c>
      <c r="H29" s="3">
        <v>100</v>
      </c>
      <c r="I29" s="1">
        <f t="shared" ca="1" si="2"/>
        <v>7</v>
      </c>
      <c r="J29" s="5">
        <f t="shared" ca="1" si="0"/>
        <v>700</v>
      </c>
    </row>
    <row r="30" spans="1:10" x14ac:dyDescent="0.3">
      <c r="A30" s="4" t="s">
        <v>24</v>
      </c>
      <c r="B30" s="1" t="s">
        <v>25</v>
      </c>
      <c r="C30" s="1" t="s">
        <v>26</v>
      </c>
      <c r="D30" s="1">
        <v>128</v>
      </c>
      <c r="E30" s="2">
        <v>40934</v>
      </c>
      <c r="F30" s="2" t="str">
        <f t="shared" si="1"/>
        <v>Thu</v>
      </c>
      <c r="G30" s="1" t="s">
        <v>13</v>
      </c>
      <c r="H30" s="3">
        <v>100</v>
      </c>
      <c r="I30" s="1">
        <f t="shared" ca="1" si="2"/>
        <v>4</v>
      </c>
      <c r="J30" s="5">
        <f t="shared" ca="1" si="0"/>
        <v>400</v>
      </c>
    </row>
    <row r="31" spans="1:10" x14ac:dyDescent="0.3">
      <c r="A31" s="4" t="s">
        <v>28</v>
      </c>
      <c r="B31" s="1" t="s">
        <v>29</v>
      </c>
      <c r="C31" s="1" t="s">
        <v>27</v>
      </c>
      <c r="D31" s="1">
        <v>129</v>
      </c>
      <c r="E31" s="2">
        <v>40935</v>
      </c>
      <c r="F31" s="2" t="str">
        <f t="shared" si="1"/>
        <v>Fri</v>
      </c>
      <c r="G31" s="1" t="s">
        <v>15</v>
      </c>
      <c r="H31" s="3">
        <v>80</v>
      </c>
      <c r="I31" s="1">
        <f t="shared" ca="1" si="2"/>
        <v>6</v>
      </c>
      <c r="J31" s="5">
        <f t="shared" ca="1" si="0"/>
        <v>480</v>
      </c>
    </row>
    <row r="32" spans="1:10" x14ac:dyDescent="0.3">
      <c r="A32" s="4" t="s">
        <v>28</v>
      </c>
      <c r="B32" s="1" t="s">
        <v>29</v>
      </c>
      <c r="C32" s="1" t="s">
        <v>27</v>
      </c>
      <c r="D32" s="1">
        <v>130</v>
      </c>
      <c r="E32" s="2">
        <v>40936</v>
      </c>
      <c r="F32" s="2" t="str">
        <f t="shared" si="1"/>
        <v>Sat</v>
      </c>
      <c r="G32" s="1" t="s">
        <v>15</v>
      </c>
      <c r="H32" s="3">
        <v>80</v>
      </c>
      <c r="I32" s="1">
        <f t="shared" ca="1" si="2"/>
        <v>1</v>
      </c>
      <c r="J32" s="5">
        <f t="shared" ca="1" si="0"/>
        <v>80</v>
      </c>
    </row>
    <row r="33" spans="1:10" x14ac:dyDescent="0.3">
      <c r="A33" s="4" t="s">
        <v>28</v>
      </c>
      <c r="B33" s="1" t="s">
        <v>29</v>
      </c>
      <c r="C33" s="1" t="s">
        <v>14</v>
      </c>
      <c r="D33" s="1">
        <v>131</v>
      </c>
      <c r="E33" s="2">
        <v>40937</v>
      </c>
      <c r="F33" s="2" t="str">
        <f t="shared" si="1"/>
        <v>Sun</v>
      </c>
      <c r="G33" s="1" t="s">
        <v>17</v>
      </c>
      <c r="H33" s="3">
        <v>120</v>
      </c>
      <c r="I33" s="1">
        <f t="shared" ca="1" si="2"/>
        <v>3</v>
      </c>
      <c r="J33" s="5">
        <f t="shared" ca="1" si="0"/>
        <v>360</v>
      </c>
    </row>
    <row r="34" spans="1:10" x14ac:dyDescent="0.3">
      <c r="A34" s="4" t="s">
        <v>28</v>
      </c>
      <c r="B34" s="1" t="s">
        <v>29</v>
      </c>
      <c r="C34" s="1" t="s">
        <v>14</v>
      </c>
      <c r="D34" s="1">
        <v>132</v>
      </c>
      <c r="E34" s="2">
        <v>40938</v>
      </c>
      <c r="F34" s="2" t="str">
        <f t="shared" si="1"/>
        <v>Mon</v>
      </c>
      <c r="G34" s="1" t="s">
        <v>17</v>
      </c>
      <c r="H34" s="3">
        <v>120</v>
      </c>
      <c r="I34" s="1">
        <f t="shared" ca="1" si="2"/>
        <v>7</v>
      </c>
      <c r="J34" s="5">
        <f t="shared" ca="1" si="0"/>
        <v>840</v>
      </c>
    </row>
    <row r="35" spans="1:10" x14ac:dyDescent="0.3">
      <c r="A35" s="9" t="s">
        <v>28</v>
      </c>
      <c r="B35" s="10" t="s">
        <v>29</v>
      </c>
      <c r="C35" s="10" t="s">
        <v>14</v>
      </c>
      <c r="D35" s="10">
        <v>133</v>
      </c>
      <c r="E35" s="11">
        <v>40939</v>
      </c>
      <c r="F35" s="11" t="str">
        <f t="shared" si="1"/>
        <v>Tue</v>
      </c>
      <c r="G35" s="10" t="s">
        <v>17</v>
      </c>
      <c r="H35" s="12">
        <v>120</v>
      </c>
      <c r="I35" s="10">
        <f t="shared" ca="1" si="2"/>
        <v>10</v>
      </c>
      <c r="J35" s="13">
        <f t="shared" ca="1" si="0"/>
        <v>1200</v>
      </c>
    </row>
    <row r="36" spans="1:10" x14ac:dyDescent="0.3">
      <c r="A36" s="17"/>
      <c r="B36" s="18"/>
      <c r="C36" s="18"/>
      <c r="D36" s="18"/>
      <c r="E36" s="19"/>
      <c r="F36" s="19"/>
      <c r="G36" s="18"/>
      <c r="H36" s="20"/>
      <c r="I36" s="18"/>
      <c r="J36" s="2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selection activeCell="J37" sqref="J37"/>
    </sheetView>
  </sheetViews>
  <sheetFormatPr defaultRowHeight="14.4" x14ac:dyDescent="0.3"/>
  <cols>
    <col min="1" max="1" width="19.21875" bestFit="1" customWidth="1"/>
    <col min="2" max="2" width="10.44140625" bestFit="1" customWidth="1"/>
    <col min="3" max="3" width="15.88671875" bestFit="1" customWidth="1"/>
    <col min="4" max="4" width="10.21875" bestFit="1" customWidth="1"/>
    <col min="5" max="5" width="15.44140625" bestFit="1" customWidth="1"/>
    <col min="6" max="6" width="7.21875" bestFit="1" customWidth="1"/>
    <col min="7" max="7" width="15.44140625" bestFit="1" customWidth="1"/>
    <col min="8" max="8" width="11.33203125" bestFit="1" customWidth="1"/>
    <col min="9" max="9" width="10.5546875" bestFit="1" customWidth="1"/>
    <col min="10" max="10" width="7.44140625" bestFit="1" customWidth="1"/>
    <col min="11" max="11" width="10.44140625" bestFit="1" customWidth="1"/>
    <col min="12" max="12" width="15.88671875" bestFit="1" customWidth="1"/>
    <col min="13" max="13" width="10.21875" bestFit="1" customWidth="1"/>
    <col min="14" max="14" width="15.44140625" bestFit="1" customWidth="1"/>
    <col min="15" max="15" width="7.21875" bestFit="1" customWidth="1"/>
    <col min="16" max="16" width="15.44140625" bestFit="1" customWidth="1"/>
    <col min="17" max="17" width="11.33203125" bestFit="1" customWidth="1"/>
    <col min="18" max="18" width="10.5546875" bestFit="1" customWidth="1"/>
    <col min="19" max="19" width="7.44140625" bestFit="1" customWidth="1"/>
  </cols>
  <sheetData>
    <row r="1" spans="1:10" x14ac:dyDescent="0.3">
      <c r="A1" s="15" t="s">
        <v>0</v>
      </c>
      <c r="B1" s="15" t="s">
        <v>1</v>
      </c>
      <c r="C1" s="15" t="s">
        <v>2</v>
      </c>
      <c r="D1" s="15" t="s">
        <v>3</v>
      </c>
      <c r="E1" s="16" t="s">
        <v>4</v>
      </c>
      <c r="F1" s="15" t="s">
        <v>5</v>
      </c>
      <c r="G1" s="15" t="s">
        <v>6</v>
      </c>
      <c r="H1" s="15" t="s">
        <v>7</v>
      </c>
      <c r="I1" s="15" t="s">
        <v>8</v>
      </c>
      <c r="J1" s="14" t="s">
        <v>9</v>
      </c>
    </row>
    <row r="2" spans="1:10" x14ac:dyDescent="0.3">
      <c r="A2" s="15" t="s">
        <v>10</v>
      </c>
      <c r="B2" s="15" t="s">
        <v>11</v>
      </c>
      <c r="C2" s="15" t="s">
        <v>12</v>
      </c>
      <c r="D2" s="15">
        <v>100</v>
      </c>
      <c r="E2" s="16">
        <v>40193</v>
      </c>
      <c r="F2" s="15" t="s">
        <v>30</v>
      </c>
      <c r="G2" s="15" t="s">
        <v>13</v>
      </c>
      <c r="H2" s="15">
        <v>100</v>
      </c>
      <c r="I2" s="15">
        <v>4</v>
      </c>
      <c r="J2" s="14">
        <v>400</v>
      </c>
    </row>
    <row r="3" spans="1:10" x14ac:dyDescent="0.3">
      <c r="A3" s="15" t="s">
        <v>10</v>
      </c>
      <c r="B3" s="15" t="s">
        <v>11</v>
      </c>
      <c r="C3" s="15" t="s">
        <v>12</v>
      </c>
      <c r="D3" s="15">
        <v>101</v>
      </c>
      <c r="E3" s="16">
        <v>40193</v>
      </c>
      <c r="F3" s="15" t="s">
        <v>30</v>
      </c>
      <c r="G3" s="15" t="s">
        <v>13</v>
      </c>
      <c r="H3" s="15">
        <v>100</v>
      </c>
      <c r="I3" s="15">
        <v>10</v>
      </c>
      <c r="J3" s="14">
        <v>1000</v>
      </c>
    </row>
    <row r="4" spans="1:10" x14ac:dyDescent="0.3">
      <c r="A4" s="15" t="s">
        <v>10</v>
      </c>
      <c r="B4" s="15" t="s">
        <v>11</v>
      </c>
      <c r="C4" s="15" t="s">
        <v>12</v>
      </c>
      <c r="D4" s="15">
        <v>102</v>
      </c>
      <c r="E4" s="16">
        <v>40253</v>
      </c>
      <c r="F4" s="15" t="s">
        <v>31</v>
      </c>
      <c r="G4" s="15" t="s">
        <v>13</v>
      </c>
      <c r="H4" s="15">
        <v>100</v>
      </c>
      <c r="I4" s="15">
        <v>10</v>
      </c>
      <c r="J4" s="14">
        <v>1000</v>
      </c>
    </row>
    <row r="5" spans="1:10" x14ac:dyDescent="0.3">
      <c r="A5" s="15" t="s">
        <v>10</v>
      </c>
      <c r="B5" s="15" t="s">
        <v>11</v>
      </c>
      <c r="C5" s="15" t="s">
        <v>12</v>
      </c>
      <c r="D5" s="15">
        <v>103</v>
      </c>
      <c r="E5" s="16">
        <v>40277</v>
      </c>
      <c r="F5" s="15" t="s">
        <v>30</v>
      </c>
      <c r="G5" s="15" t="s">
        <v>13</v>
      </c>
      <c r="H5" s="15">
        <v>100</v>
      </c>
      <c r="I5" s="15">
        <v>4</v>
      </c>
      <c r="J5" s="14">
        <v>400</v>
      </c>
    </row>
    <row r="6" spans="1:10" x14ac:dyDescent="0.3">
      <c r="A6" s="15" t="s">
        <v>10</v>
      </c>
      <c r="B6" s="15" t="s">
        <v>11</v>
      </c>
      <c r="C6" s="15" t="s">
        <v>14</v>
      </c>
      <c r="D6" s="15">
        <v>104</v>
      </c>
      <c r="E6" s="16">
        <v>40308</v>
      </c>
      <c r="F6" s="15" t="s">
        <v>32</v>
      </c>
      <c r="G6" s="15" t="s">
        <v>15</v>
      </c>
      <c r="H6" s="15">
        <v>80</v>
      </c>
      <c r="I6" s="15">
        <v>2</v>
      </c>
      <c r="J6" s="14">
        <v>160</v>
      </c>
    </row>
    <row r="7" spans="1:10" x14ac:dyDescent="0.3">
      <c r="A7" s="15" t="s">
        <v>10</v>
      </c>
      <c r="B7" s="15" t="s">
        <v>11</v>
      </c>
      <c r="C7" s="15" t="s">
        <v>16</v>
      </c>
      <c r="D7" s="15">
        <v>105</v>
      </c>
      <c r="E7" s="16">
        <v>40344</v>
      </c>
      <c r="F7" s="15" t="s">
        <v>31</v>
      </c>
      <c r="G7" s="15" t="s">
        <v>17</v>
      </c>
      <c r="H7" s="15">
        <v>120</v>
      </c>
      <c r="I7" s="15">
        <v>1</v>
      </c>
      <c r="J7" s="14">
        <v>120</v>
      </c>
    </row>
    <row r="8" spans="1:10" x14ac:dyDescent="0.3">
      <c r="A8" s="15" t="s">
        <v>10</v>
      </c>
      <c r="B8" s="15" t="s">
        <v>11</v>
      </c>
      <c r="C8" s="15" t="s">
        <v>16</v>
      </c>
      <c r="D8" s="15">
        <v>106</v>
      </c>
      <c r="E8" s="16">
        <v>40381</v>
      </c>
      <c r="F8" s="15" t="s">
        <v>33</v>
      </c>
      <c r="G8" s="15" t="s">
        <v>17</v>
      </c>
      <c r="H8" s="15">
        <v>120</v>
      </c>
      <c r="I8" s="15">
        <v>4</v>
      </c>
      <c r="J8" s="14">
        <v>480</v>
      </c>
    </row>
    <row r="9" spans="1:10" x14ac:dyDescent="0.3">
      <c r="A9" s="15" t="s">
        <v>10</v>
      </c>
      <c r="B9" s="15" t="s">
        <v>11</v>
      </c>
      <c r="C9" s="15" t="s">
        <v>16</v>
      </c>
      <c r="D9" s="15">
        <v>107</v>
      </c>
      <c r="E9" s="16">
        <v>40400</v>
      </c>
      <c r="F9" s="15" t="s">
        <v>31</v>
      </c>
      <c r="G9" s="15" t="s">
        <v>15</v>
      </c>
      <c r="H9" s="15">
        <v>80</v>
      </c>
      <c r="I9" s="15">
        <v>8</v>
      </c>
      <c r="J9" s="14">
        <v>640</v>
      </c>
    </row>
    <row r="10" spans="1:10" x14ac:dyDescent="0.3">
      <c r="A10" s="15" t="s">
        <v>10</v>
      </c>
      <c r="B10" s="15" t="s">
        <v>11</v>
      </c>
      <c r="C10" s="15" t="s">
        <v>14</v>
      </c>
      <c r="D10" s="15">
        <v>108</v>
      </c>
      <c r="E10" s="16">
        <v>40431</v>
      </c>
      <c r="F10" s="15" t="s">
        <v>30</v>
      </c>
      <c r="G10" s="15" t="s">
        <v>15</v>
      </c>
      <c r="H10" s="15">
        <v>80</v>
      </c>
      <c r="I10" s="15">
        <v>5</v>
      </c>
      <c r="J10" s="14">
        <v>400</v>
      </c>
    </row>
    <row r="11" spans="1:10" x14ac:dyDescent="0.3">
      <c r="A11" s="15" t="s">
        <v>10</v>
      </c>
      <c r="B11" s="15" t="s">
        <v>11</v>
      </c>
      <c r="C11" s="15" t="s">
        <v>14</v>
      </c>
      <c r="D11" s="15">
        <v>109</v>
      </c>
      <c r="E11" s="16">
        <v>40462</v>
      </c>
      <c r="F11" s="15" t="s">
        <v>32</v>
      </c>
      <c r="G11" s="15" t="s">
        <v>13</v>
      </c>
      <c r="H11" s="15">
        <v>100</v>
      </c>
      <c r="I11" s="15">
        <v>1</v>
      </c>
      <c r="J11" s="14">
        <v>100</v>
      </c>
    </row>
    <row r="12" spans="1:10" x14ac:dyDescent="0.3">
      <c r="A12" s="15" t="s">
        <v>18</v>
      </c>
      <c r="B12" s="15" t="s">
        <v>19</v>
      </c>
      <c r="C12" s="15" t="s">
        <v>14</v>
      </c>
      <c r="D12" s="15">
        <v>110</v>
      </c>
      <c r="E12" s="16">
        <v>40491</v>
      </c>
      <c r="F12" s="15" t="s">
        <v>31</v>
      </c>
      <c r="G12" s="15" t="s">
        <v>15</v>
      </c>
      <c r="H12" s="15">
        <v>80</v>
      </c>
      <c r="I12" s="15">
        <v>20</v>
      </c>
      <c r="J12" s="14">
        <v>1600</v>
      </c>
    </row>
    <row r="13" spans="1:10" x14ac:dyDescent="0.3">
      <c r="A13" s="15" t="s">
        <v>18</v>
      </c>
      <c r="B13" s="15" t="s">
        <v>19</v>
      </c>
      <c r="C13" s="15" t="s">
        <v>16</v>
      </c>
      <c r="D13" s="15">
        <v>111</v>
      </c>
      <c r="E13" s="16">
        <v>40537</v>
      </c>
      <c r="F13" s="15" t="s">
        <v>34</v>
      </c>
      <c r="G13" s="15" t="s">
        <v>15</v>
      </c>
      <c r="H13" s="15">
        <v>80</v>
      </c>
      <c r="I13" s="15">
        <v>10</v>
      </c>
      <c r="J13" s="14">
        <v>800</v>
      </c>
    </row>
    <row r="14" spans="1:10" x14ac:dyDescent="0.3">
      <c r="A14" s="15" t="s">
        <v>18</v>
      </c>
      <c r="B14" s="15" t="s">
        <v>19</v>
      </c>
      <c r="C14" s="15" t="s">
        <v>16</v>
      </c>
      <c r="D14" s="15">
        <v>112</v>
      </c>
      <c r="E14" s="16">
        <v>40544</v>
      </c>
      <c r="F14" s="15" t="s">
        <v>34</v>
      </c>
      <c r="G14" s="15" t="s">
        <v>15</v>
      </c>
      <c r="H14" s="15">
        <v>80</v>
      </c>
      <c r="I14" s="15">
        <v>8</v>
      </c>
      <c r="J14" s="14">
        <v>640</v>
      </c>
    </row>
    <row r="15" spans="1:10" x14ac:dyDescent="0.3">
      <c r="A15" s="15" t="s">
        <v>18</v>
      </c>
      <c r="B15" s="15" t="s">
        <v>19</v>
      </c>
      <c r="C15" s="15" t="s">
        <v>16</v>
      </c>
      <c r="D15" s="15">
        <v>113</v>
      </c>
      <c r="E15" s="16">
        <v>40576</v>
      </c>
      <c r="F15" s="15" t="s">
        <v>35</v>
      </c>
      <c r="G15" s="15" t="s">
        <v>15</v>
      </c>
      <c r="H15" s="15">
        <v>80</v>
      </c>
      <c r="I15" s="15">
        <v>3</v>
      </c>
      <c r="J15" s="14">
        <v>240</v>
      </c>
    </row>
    <row r="16" spans="1:10" x14ac:dyDescent="0.3">
      <c r="A16" s="15" t="s">
        <v>18</v>
      </c>
      <c r="B16" s="15" t="s">
        <v>19</v>
      </c>
      <c r="C16" s="15" t="s">
        <v>20</v>
      </c>
      <c r="D16" s="15">
        <v>114</v>
      </c>
      <c r="E16" s="16">
        <v>40605</v>
      </c>
      <c r="F16" s="15" t="s">
        <v>33</v>
      </c>
      <c r="G16" s="15" t="s">
        <v>17</v>
      </c>
      <c r="H16" s="15">
        <v>120</v>
      </c>
      <c r="I16" s="15">
        <v>20</v>
      </c>
      <c r="J16" s="14">
        <v>2400</v>
      </c>
    </row>
    <row r="17" spans="1:10" x14ac:dyDescent="0.3">
      <c r="A17" s="15" t="s">
        <v>21</v>
      </c>
      <c r="B17" s="15" t="s">
        <v>22</v>
      </c>
      <c r="C17" s="15" t="s">
        <v>20</v>
      </c>
      <c r="D17" s="15">
        <v>115</v>
      </c>
      <c r="E17" s="16">
        <v>40637</v>
      </c>
      <c r="F17" s="15" t="s">
        <v>32</v>
      </c>
      <c r="G17" s="15" t="s">
        <v>17</v>
      </c>
      <c r="H17" s="15">
        <v>120</v>
      </c>
      <c r="I17" s="15">
        <v>6</v>
      </c>
      <c r="J17" s="14">
        <v>720</v>
      </c>
    </row>
    <row r="18" spans="1:10" x14ac:dyDescent="0.3">
      <c r="A18" s="15" t="s">
        <v>21</v>
      </c>
      <c r="B18" s="15" t="s">
        <v>22</v>
      </c>
      <c r="C18" s="15" t="s">
        <v>20</v>
      </c>
      <c r="D18" s="15">
        <v>116</v>
      </c>
      <c r="E18" s="16">
        <v>40668</v>
      </c>
      <c r="F18" s="15" t="s">
        <v>33</v>
      </c>
      <c r="G18" s="15" t="s">
        <v>17</v>
      </c>
      <c r="H18" s="15">
        <v>120</v>
      </c>
      <c r="I18" s="15">
        <v>40</v>
      </c>
      <c r="J18" s="14">
        <v>4800</v>
      </c>
    </row>
    <row r="19" spans="1:10" x14ac:dyDescent="0.3">
      <c r="A19" s="15" t="s">
        <v>21</v>
      </c>
      <c r="B19" s="15" t="s">
        <v>22</v>
      </c>
      <c r="C19" s="15" t="s">
        <v>20</v>
      </c>
      <c r="D19" s="15">
        <v>117</v>
      </c>
      <c r="E19" s="16">
        <v>40700</v>
      </c>
      <c r="F19" s="15" t="s">
        <v>32</v>
      </c>
      <c r="G19" s="15" t="s">
        <v>17</v>
      </c>
      <c r="H19" s="15">
        <v>120</v>
      </c>
      <c r="I19" s="15">
        <v>2</v>
      </c>
      <c r="J19" s="14">
        <v>240</v>
      </c>
    </row>
    <row r="20" spans="1:10" x14ac:dyDescent="0.3">
      <c r="A20" s="15" t="s">
        <v>21</v>
      </c>
      <c r="B20" s="15" t="s">
        <v>22</v>
      </c>
      <c r="C20" s="15" t="s">
        <v>20</v>
      </c>
      <c r="D20" s="15">
        <v>118</v>
      </c>
      <c r="E20" s="16">
        <v>40924</v>
      </c>
      <c r="F20" s="15" t="s">
        <v>32</v>
      </c>
      <c r="G20" s="15" t="s">
        <v>17</v>
      </c>
      <c r="H20" s="15">
        <v>6</v>
      </c>
      <c r="I20" s="15">
        <v>9</v>
      </c>
      <c r="J20" s="14">
        <v>54</v>
      </c>
    </row>
    <row r="21" spans="1:10" x14ac:dyDescent="0.3">
      <c r="A21" s="15" t="s">
        <v>21</v>
      </c>
      <c r="B21" s="15" t="s">
        <v>22</v>
      </c>
      <c r="C21" s="15" t="s">
        <v>20</v>
      </c>
      <c r="D21" s="15">
        <v>119</v>
      </c>
      <c r="E21" s="16">
        <v>40925</v>
      </c>
      <c r="F21" s="15" t="s">
        <v>31</v>
      </c>
      <c r="G21" s="15" t="s">
        <v>23</v>
      </c>
      <c r="H21" s="15">
        <v>150</v>
      </c>
      <c r="I21" s="15">
        <v>3</v>
      </c>
      <c r="J21" s="14">
        <v>450</v>
      </c>
    </row>
    <row r="22" spans="1:10" x14ac:dyDescent="0.3">
      <c r="A22" s="15" t="s">
        <v>21</v>
      </c>
      <c r="B22" s="15" t="s">
        <v>22</v>
      </c>
      <c r="C22" s="15" t="s">
        <v>20</v>
      </c>
      <c r="D22" s="15">
        <v>120</v>
      </c>
      <c r="E22" s="16">
        <v>40926</v>
      </c>
      <c r="F22" s="15" t="s">
        <v>35</v>
      </c>
      <c r="G22" s="15" t="s">
        <v>23</v>
      </c>
      <c r="H22" s="15">
        <v>150</v>
      </c>
      <c r="I22" s="15">
        <v>10</v>
      </c>
      <c r="J22" s="14">
        <v>1500</v>
      </c>
    </row>
    <row r="23" spans="1:10" x14ac:dyDescent="0.3">
      <c r="A23" s="15" t="s">
        <v>21</v>
      </c>
      <c r="B23" s="15" t="s">
        <v>22</v>
      </c>
      <c r="C23" s="15" t="s">
        <v>14</v>
      </c>
      <c r="D23" s="15">
        <v>121</v>
      </c>
      <c r="E23" s="16">
        <v>40927</v>
      </c>
      <c r="F23" s="15" t="s">
        <v>33</v>
      </c>
      <c r="G23" s="15" t="s">
        <v>23</v>
      </c>
      <c r="H23" s="15">
        <v>150</v>
      </c>
      <c r="I23" s="15">
        <v>4</v>
      </c>
      <c r="J23" s="14">
        <v>600</v>
      </c>
    </row>
    <row r="24" spans="1:10" x14ac:dyDescent="0.3">
      <c r="A24" s="15" t="s">
        <v>21</v>
      </c>
      <c r="B24" s="15" t="s">
        <v>22</v>
      </c>
      <c r="C24" s="15" t="s">
        <v>14</v>
      </c>
      <c r="D24" s="15">
        <v>122</v>
      </c>
      <c r="E24" s="16">
        <v>40928</v>
      </c>
      <c r="F24" s="15" t="s">
        <v>30</v>
      </c>
      <c r="G24" s="15" t="s">
        <v>23</v>
      </c>
      <c r="H24" s="15">
        <v>150</v>
      </c>
      <c r="I24" s="15">
        <v>7</v>
      </c>
      <c r="J24" s="14">
        <v>1050</v>
      </c>
    </row>
    <row r="25" spans="1:10" x14ac:dyDescent="0.3">
      <c r="A25" s="15" t="s">
        <v>21</v>
      </c>
      <c r="B25" s="15" t="s">
        <v>22</v>
      </c>
      <c r="C25" s="15" t="s">
        <v>14</v>
      </c>
      <c r="D25" s="15">
        <v>123</v>
      </c>
      <c r="E25" s="16">
        <v>40929</v>
      </c>
      <c r="F25" s="15" t="s">
        <v>34</v>
      </c>
      <c r="G25" s="15" t="s">
        <v>23</v>
      </c>
      <c r="H25" s="15">
        <v>150</v>
      </c>
      <c r="I25" s="15">
        <v>4</v>
      </c>
      <c r="J25" s="14">
        <v>600</v>
      </c>
    </row>
    <row r="26" spans="1:10" x14ac:dyDescent="0.3">
      <c r="A26" s="15" t="s">
        <v>24</v>
      </c>
      <c r="B26" s="15" t="s">
        <v>25</v>
      </c>
      <c r="C26" s="15" t="s">
        <v>26</v>
      </c>
      <c r="D26" s="15">
        <v>124</v>
      </c>
      <c r="E26" s="16">
        <v>40930</v>
      </c>
      <c r="F26" s="15" t="s">
        <v>36</v>
      </c>
      <c r="G26" s="15" t="s">
        <v>13</v>
      </c>
      <c r="H26" s="15">
        <v>100</v>
      </c>
      <c r="I26" s="15">
        <v>8</v>
      </c>
      <c r="J26" s="14">
        <v>800</v>
      </c>
    </row>
    <row r="27" spans="1:10" x14ac:dyDescent="0.3">
      <c r="A27" s="15" t="s">
        <v>24</v>
      </c>
      <c r="B27" s="15" t="s">
        <v>25</v>
      </c>
      <c r="C27" s="15" t="s">
        <v>27</v>
      </c>
      <c r="D27" s="15">
        <v>125</v>
      </c>
      <c r="E27" s="16">
        <v>40931</v>
      </c>
      <c r="F27" s="15" t="s">
        <v>32</v>
      </c>
      <c r="G27" s="15" t="s">
        <v>13</v>
      </c>
      <c r="H27" s="15">
        <v>100</v>
      </c>
      <c r="I27" s="15">
        <v>9</v>
      </c>
      <c r="J27" s="14">
        <v>900</v>
      </c>
    </row>
    <row r="28" spans="1:10" x14ac:dyDescent="0.3">
      <c r="A28" s="15" t="s">
        <v>24</v>
      </c>
      <c r="B28" s="15" t="s">
        <v>25</v>
      </c>
      <c r="C28" s="15" t="s">
        <v>26</v>
      </c>
      <c r="D28" s="15">
        <v>126</v>
      </c>
      <c r="E28" s="16">
        <v>40932</v>
      </c>
      <c r="F28" s="15" t="s">
        <v>31</v>
      </c>
      <c r="G28" s="15" t="s">
        <v>13</v>
      </c>
      <c r="H28" s="15">
        <v>100</v>
      </c>
      <c r="I28" s="15">
        <v>3</v>
      </c>
      <c r="J28" s="14">
        <v>300</v>
      </c>
    </row>
    <row r="29" spans="1:10" x14ac:dyDescent="0.3">
      <c r="A29" s="15" t="s">
        <v>24</v>
      </c>
      <c r="B29" s="15" t="s">
        <v>25</v>
      </c>
      <c r="C29" s="15" t="s">
        <v>26</v>
      </c>
      <c r="D29" s="15">
        <v>127</v>
      </c>
      <c r="E29" s="16">
        <v>40933</v>
      </c>
      <c r="F29" s="15" t="s">
        <v>35</v>
      </c>
      <c r="G29" s="15" t="s">
        <v>13</v>
      </c>
      <c r="H29" s="15">
        <v>100</v>
      </c>
      <c r="I29" s="15">
        <v>8</v>
      </c>
      <c r="J29" s="14">
        <v>800</v>
      </c>
    </row>
    <row r="30" spans="1:10" x14ac:dyDescent="0.3">
      <c r="A30" s="15" t="s">
        <v>24</v>
      </c>
      <c r="B30" s="15" t="s">
        <v>25</v>
      </c>
      <c r="C30" s="15" t="s">
        <v>26</v>
      </c>
      <c r="D30" s="15">
        <v>128</v>
      </c>
      <c r="E30" s="16">
        <v>40934</v>
      </c>
      <c r="F30" s="15" t="s">
        <v>33</v>
      </c>
      <c r="G30" s="15" t="s">
        <v>13</v>
      </c>
      <c r="H30" s="15">
        <v>100</v>
      </c>
      <c r="I30" s="15">
        <v>6</v>
      </c>
      <c r="J30" s="14">
        <v>600</v>
      </c>
    </row>
    <row r="31" spans="1:10" x14ac:dyDescent="0.3">
      <c r="A31" s="15" t="s">
        <v>28</v>
      </c>
      <c r="B31" s="15" t="s">
        <v>29</v>
      </c>
      <c r="C31" s="15" t="s">
        <v>27</v>
      </c>
      <c r="D31" s="15">
        <v>129</v>
      </c>
      <c r="E31" s="16">
        <v>40935</v>
      </c>
      <c r="F31" s="15" t="s">
        <v>30</v>
      </c>
      <c r="G31" s="15" t="s">
        <v>15</v>
      </c>
      <c r="H31" s="15">
        <v>80</v>
      </c>
      <c r="I31" s="15">
        <v>6</v>
      </c>
      <c r="J31" s="14">
        <v>480</v>
      </c>
    </row>
    <row r="32" spans="1:10" x14ac:dyDescent="0.3">
      <c r="A32" s="15" t="s">
        <v>28</v>
      </c>
      <c r="B32" s="15" t="s">
        <v>29</v>
      </c>
      <c r="C32" s="15" t="s">
        <v>27</v>
      </c>
      <c r="D32" s="15">
        <v>130</v>
      </c>
      <c r="E32" s="16">
        <v>40936</v>
      </c>
      <c r="F32" s="15" t="s">
        <v>34</v>
      </c>
      <c r="G32" s="15" t="s">
        <v>15</v>
      </c>
      <c r="H32" s="15">
        <v>80</v>
      </c>
      <c r="I32" s="15">
        <v>3</v>
      </c>
      <c r="J32" s="14">
        <v>240</v>
      </c>
    </row>
    <row r="33" spans="1:10" x14ac:dyDescent="0.3">
      <c r="A33" s="15" t="s">
        <v>28</v>
      </c>
      <c r="B33" s="15" t="s">
        <v>29</v>
      </c>
      <c r="C33" s="15" t="s">
        <v>14</v>
      </c>
      <c r="D33" s="15">
        <v>131</v>
      </c>
      <c r="E33" s="16">
        <v>40937</v>
      </c>
      <c r="F33" s="15" t="s">
        <v>36</v>
      </c>
      <c r="G33" s="15" t="s">
        <v>17</v>
      </c>
      <c r="H33" s="15">
        <v>120</v>
      </c>
      <c r="I33" s="15">
        <v>10</v>
      </c>
      <c r="J33" s="14">
        <v>1200</v>
      </c>
    </row>
    <row r="34" spans="1:10" x14ac:dyDescent="0.3">
      <c r="A34" s="15" t="s">
        <v>28</v>
      </c>
      <c r="B34" s="15" t="s">
        <v>29</v>
      </c>
      <c r="C34" s="15" t="s">
        <v>14</v>
      </c>
      <c r="D34" s="15">
        <v>132</v>
      </c>
      <c r="E34" s="16">
        <v>40938</v>
      </c>
      <c r="F34" s="15" t="s">
        <v>32</v>
      </c>
      <c r="G34" s="15" t="s">
        <v>17</v>
      </c>
      <c r="H34" s="15">
        <v>120</v>
      </c>
      <c r="I34" s="15">
        <v>9</v>
      </c>
      <c r="J34" s="14">
        <v>1080</v>
      </c>
    </row>
    <row r="35" spans="1:10" x14ac:dyDescent="0.3">
      <c r="A35" s="15" t="s">
        <v>28</v>
      </c>
      <c r="B35" s="15" t="s">
        <v>29</v>
      </c>
      <c r="C35" s="15" t="s">
        <v>14</v>
      </c>
      <c r="D35" s="15">
        <v>133</v>
      </c>
      <c r="E35" s="16">
        <v>40939</v>
      </c>
      <c r="F35" s="15" t="s">
        <v>31</v>
      </c>
      <c r="G35" s="15" t="s">
        <v>17</v>
      </c>
      <c r="H35" s="15">
        <v>120</v>
      </c>
      <c r="I35" s="15">
        <v>1</v>
      </c>
      <c r="J35" s="14">
        <v>120</v>
      </c>
    </row>
    <row r="36" spans="1:10" x14ac:dyDescent="0.3">
      <c r="A36" s="15"/>
      <c r="B36" s="15"/>
      <c r="C36" s="15"/>
      <c r="D36" s="15"/>
      <c r="E36" s="16"/>
      <c r="F36" s="15"/>
      <c r="G36" s="15"/>
      <c r="H36" s="15"/>
      <c r="I36" s="15"/>
      <c r="J36" s="15">
        <f>SUM(Table1_2[Total])</f>
        <v>26914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
  <sheetViews>
    <sheetView topLeftCell="A19" workbookViewId="0">
      <selection activeCell="A23" sqref="A23"/>
    </sheetView>
  </sheetViews>
  <sheetFormatPr defaultRowHeight="14.4" x14ac:dyDescent="0.3"/>
  <cols>
    <col min="1" max="1" width="19.21875" customWidth="1"/>
    <col min="2" max="2" width="11.6640625" customWidth="1"/>
  </cols>
  <sheetData>
    <row r="1" spans="1:10" ht="15" thickBot="1" x14ac:dyDescent="0.35"/>
    <row r="2" spans="1:10" ht="15" thickBot="1" x14ac:dyDescent="0.35">
      <c r="A2" s="42" t="s">
        <v>41</v>
      </c>
      <c r="B2" s="43"/>
      <c r="C2" s="43"/>
      <c r="D2" s="43"/>
      <c r="E2" s="43"/>
      <c r="F2" s="43"/>
      <c r="G2" s="43"/>
      <c r="H2" s="43"/>
      <c r="I2" s="44"/>
    </row>
    <row r="3" spans="1:10" ht="15" thickBot="1" x14ac:dyDescent="0.35">
      <c r="A3" s="39" t="s">
        <v>37</v>
      </c>
      <c r="B3" s="39" t="s">
        <v>38</v>
      </c>
      <c r="C3" s="22"/>
      <c r="D3" s="22"/>
      <c r="E3" s="22"/>
      <c r="F3" s="22"/>
      <c r="G3" s="22"/>
      <c r="H3" s="22"/>
      <c r="I3" s="24"/>
    </row>
    <row r="4" spans="1:10" x14ac:dyDescent="0.3">
      <c r="A4" s="34">
        <v>26914</v>
      </c>
      <c r="B4" s="33">
        <v>34</v>
      </c>
      <c r="C4" s="22"/>
      <c r="D4" s="22"/>
      <c r="E4" s="22"/>
      <c r="F4" s="22"/>
      <c r="G4" s="22"/>
      <c r="H4" s="22"/>
      <c r="I4" s="24"/>
    </row>
    <row r="5" spans="1:10" x14ac:dyDescent="0.3">
      <c r="A5" s="23"/>
      <c r="B5" s="22"/>
      <c r="C5" s="22"/>
      <c r="D5" s="22"/>
      <c r="E5" s="22"/>
      <c r="F5" s="22"/>
      <c r="G5" s="22"/>
      <c r="H5" s="22"/>
      <c r="I5" s="24"/>
    </row>
    <row r="6" spans="1:10" x14ac:dyDescent="0.3">
      <c r="A6" s="28" t="s">
        <v>39</v>
      </c>
      <c r="B6" s="29" t="s">
        <v>40</v>
      </c>
      <c r="C6" s="22"/>
      <c r="D6" s="22"/>
      <c r="E6" s="22"/>
      <c r="F6" s="22"/>
      <c r="G6" s="22"/>
      <c r="H6" s="22"/>
      <c r="I6" s="24"/>
    </row>
    <row r="7" spans="1:10" x14ac:dyDescent="0.3">
      <c r="A7" s="30">
        <f>GETPIVOTDATA("Total",$A$3)</f>
        <v>26914</v>
      </c>
      <c r="B7" s="22">
        <f>GETPIVOTDATA("Total",$B$3)</f>
        <v>34</v>
      </c>
      <c r="C7" s="22"/>
      <c r="D7" s="22"/>
      <c r="E7" s="22"/>
      <c r="F7" s="22"/>
      <c r="G7" s="22"/>
      <c r="H7" s="22"/>
      <c r="I7" s="24"/>
    </row>
    <row r="8" spans="1:10" x14ac:dyDescent="0.3">
      <c r="A8" s="23"/>
      <c r="B8" s="22"/>
      <c r="C8" s="22"/>
      <c r="D8" s="22"/>
      <c r="E8" s="22"/>
      <c r="F8" s="22"/>
      <c r="G8" s="22"/>
      <c r="H8" s="22"/>
      <c r="I8" s="24"/>
    </row>
    <row r="9" spans="1:10" x14ac:dyDescent="0.3">
      <c r="A9" s="23"/>
      <c r="B9" s="22"/>
      <c r="C9" s="22"/>
      <c r="D9" s="22"/>
      <c r="E9" s="22"/>
      <c r="F9" s="22"/>
      <c r="G9" s="22"/>
      <c r="H9" s="22"/>
      <c r="I9" s="24"/>
    </row>
    <row r="10" spans="1:10" ht="15" thickBot="1" x14ac:dyDescent="0.35">
      <c r="A10" s="25"/>
      <c r="B10" s="26"/>
      <c r="C10" s="26"/>
      <c r="D10" s="26"/>
      <c r="E10" s="26"/>
      <c r="F10" s="26"/>
      <c r="G10" s="26"/>
      <c r="H10" s="26"/>
      <c r="I10" s="27"/>
    </row>
    <row r="11" spans="1:10" ht="15" thickBot="1" x14ac:dyDescent="0.35"/>
    <row r="12" spans="1:10" x14ac:dyDescent="0.3">
      <c r="A12" s="42" t="s">
        <v>50</v>
      </c>
      <c r="B12" s="43"/>
      <c r="C12" s="43"/>
      <c r="D12" s="43"/>
      <c r="E12" s="43"/>
      <c r="F12" s="43"/>
      <c r="G12" s="43"/>
      <c r="H12" s="43"/>
      <c r="I12" s="44"/>
      <c r="J12" s="22"/>
    </row>
    <row r="13" spans="1:10" x14ac:dyDescent="0.3">
      <c r="A13" s="37" t="s">
        <v>2</v>
      </c>
      <c r="B13" s="38" t="s">
        <v>37</v>
      </c>
      <c r="C13" s="22"/>
      <c r="D13" s="22"/>
      <c r="E13" s="22"/>
      <c r="F13" s="22"/>
      <c r="G13" s="22"/>
      <c r="H13" s="22"/>
      <c r="I13" s="24"/>
    </row>
    <row r="14" spans="1:10" x14ac:dyDescent="0.3">
      <c r="A14" s="38" t="s">
        <v>27</v>
      </c>
      <c r="B14" s="35">
        <v>1620</v>
      </c>
      <c r="C14" s="22"/>
      <c r="D14" s="22"/>
      <c r="E14" s="22"/>
      <c r="F14" s="22"/>
      <c r="G14" s="22"/>
      <c r="H14" s="22"/>
      <c r="I14" s="24"/>
    </row>
    <row r="15" spans="1:10" x14ac:dyDescent="0.3">
      <c r="A15" s="38" t="s">
        <v>14</v>
      </c>
      <c r="B15" s="35">
        <v>6910</v>
      </c>
      <c r="C15" s="22"/>
      <c r="D15" s="22"/>
      <c r="E15" s="22"/>
      <c r="F15" s="22"/>
      <c r="G15" s="22"/>
      <c r="H15" s="22"/>
      <c r="I15" s="24"/>
    </row>
    <row r="16" spans="1:10" x14ac:dyDescent="0.3">
      <c r="A16" s="38" t="s">
        <v>20</v>
      </c>
      <c r="B16" s="35">
        <v>10164</v>
      </c>
      <c r="C16" s="22"/>
      <c r="D16" s="22"/>
      <c r="E16" s="22"/>
      <c r="F16" s="22"/>
      <c r="G16" s="22"/>
      <c r="H16" s="22"/>
      <c r="I16" s="24"/>
    </row>
    <row r="17" spans="1:9" x14ac:dyDescent="0.3">
      <c r="A17" s="38" t="s">
        <v>16</v>
      </c>
      <c r="B17" s="35">
        <v>2920</v>
      </c>
      <c r="C17" s="22"/>
      <c r="D17" s="22"/>
      <c r="E17" s="22"/>
      <c r="F17" s="22"/>
      <c r="G17" s="22"/>
      <c r="H17" s="22"/>
      <c r="I17" s="24"/>
    </row>
    <row r="18" spans="1:9" x14ac:dyDescent="0.3">
      <c r="A18" s="38" t="s">
        <v>12</v>
      </c>
      <c r="B18" s="35">
        <v>2800</v>
      </c>
      <c r="C18" s="22"/>
      <c r="D18" s="22"/>
      <c r="E18" s="22"/>
      <c r="F18" s="22"/>
      <c r="G18" s="22"/>
      <c r="H18" s="22"/>
      <c r="I18" s="24"/>
    </row>
    <row r="19" spans="1:9" x14ac:dyDescent="0.3">
      <c r="A19" s="38" t="s">
        <v>26</v>
      </c>
      <c r="B19" s="35">
        <v>2500</v>
      </c>
      <c r="C19" s="22"/>
      <c r="D19" s="22"/>
      <c r="E19" s="22"/>
      <c r="F19" s="22"/>
      <c r="G19" s="22"/>
      <c r="H19" s="22"/>
      <c r="I19" s="24"/>
    </row>
    <row r="20" spans="1:9" ht="15" thickBot="1" x14ac:dyDescent="0.35">
      <c r="A20" s="25"/>
      <c r="B20" s="26"/>
      <c r="C20" s="26"/>
      <c r="D20" s="26"/>
      <c r="E20" s="26"/>
      <c r="F20" s="26"/>
      <c r="G20" s="26"/>
      <c r="H20" s="26"/>
      <c r="I20" s="27"/>
    </row>
    <row r="21" spans="1:9" ht="15" thickBot="1" x14ac:dyDescent="0.35"/>
    <row r="22" spans="1:9" x14ac:dyDescent="0.3">
      <c r="A22" s="42" t="s">
        <v>51</v>
      </c>
      <c r="B22" s="43"/>
      <c r="C22" s="43"/>
      <c r="D22" s="43"/>
      <c r="E22" s="43"/>
      <c r="F22" s="43"/>
      <c r="G22" s="43"/>
      <c r="H22" s="43"/>
      <c r="I22" s="44"/>
    </row>
    <row r="23" spans="1:9" x14ac:dyDescent="0.3">
      <c r="A23" s="31" t="s">
        <v>5</v>
      </c>
      <c r="B23" s="22" t="s">
        <v>37</v>
      </c>
      <c r="C23" s="22"/>
      <c r="D23" s="22"/>
      <c r="E23" s="22"/>
      <c r="F23" s="22"/>
      <c r="G23" s="22"/>
      <c r="H23" s="22"/>
      <c r="I23" s="24"/>
    </row>
    <row r="24" spans="1:9" x14ac:dyDescent="0.3">
      <c r="A24" s="22" t="s">
        <v>36</v>
      </c>
      <c r="B24" s="32">
        <v>2000</v>
      </c>
      <c r="C24" s="22"/>
      <c r="D24" s="22"/>
      <c r="E24" s="22"/>
      <c r="F24" s="22"/>
      <c r="G24" s="22"/>
      <c r="H24" s="22"/>
      <c r="I24" s="24"/>
    </row>
    <row r="25" spans="1:9" x14ac:dyDescent="0.3">
      <c r="A25" s="22" t="s">
        <v>32</v>
      </c>
      <c r="B25" s="32">
        <v>3254</v>
      </c>
      <c r="C25" s="22"/>
      <c r="D25" s="22"/>
      <c r="E25" s="22"/>
      <c r="F25" s="22"/>
      <c r="G25" s="22"/>
      <c r="H25" s="22"/>
      <c r="I25" s="24"/>
    </row>
    <row r="26" spans="1:9" x14ac:dyDescent="0.3">
      <c r="A26" s="22" t="s">
        <v>31</v>
      </c>
      <c r="B26" s="32">
        <v>4230</v>
      </c>
      <c r="C26" s="22"/>
      <c r="D26" s="22"/>
      <c r="E26" s="22"/>
      <c r="F26" s="22"/>
      <c r="G26" s="22"/>
      <c r="H26" s="22"/>
      <c r="I26" s="24"/>
    </row>
    <row r="27" spans="1:9" x14ac:dyDescent="0.3">
      <c r="A27" s="22" t="s">
        <v>35</v>
      </c>
      <c r="B27" s="32">
        <v>2540</v>
      </c>
      <c r="C27" s="22"/>
      <c r="D27" s="22"/>
      <c r="E27" s="22"/>
      <c r="F27" s="22"/>
      <c r="G27" s="22"/>
      <c r="H27" s="22"/>
      <c r="I27" s="24"/>
    </row>
    <row r="28" spans="1:9" x14ac:dyDescent="0.3">
      <c r="A28" s="22" t="s">
        <v>33</v>
      </c>
      <c r="B28" s="32">
        <v>8880</v>
      </c>
      <c r="C28" s="22"/>
      <c r="D28" s="22"/>
      <c r="E28" s="22"/>
      <c r="F28" s="22"/>
      <c r="G28" s="22"/>
      <c r="H28" s="22"/>
      <c r="I28" s="24"/>
    </row>
    <row r="29" spans="1:9" x14ac:dyDescent="0.3">
      <c r="A29" s="22" t="s">
        <v>30</v>
      </c>
      <c r="B29" s="32">
        <v>3730</v>
      </c>
      <c r="C29" s="22"/>
      <c r="D29" s="22"/>
      <c r="E29" s="22"/>
      <c r="F29" s="22"/>
      <c r="G29" s="22"/>
      <c r="H29" s="22"/>
      <c r="I29" s="24"/>
    </row>
    <row r="30" spans="1:9" x14ac:dyDescent="0.3">
      <c r="A30" s="22" t="s">
        <v>34</v>
      </c>
      <c r="B30" s="32">
        <v>2280</v>
      </c>
      <c r="C30" s="22"/>
      <c r="D30" s="22"/>
      <c r="E30" s="22"/>
      <c r="F30" s="22"/>
      <c r="G30" s="22"/>
      <c r="H30" s="22"/>
      <c r="I30" s="24"/>
    </row>
    <row r="31" spans="1:9" ht="15" thickBot="1" x14ac:dyDescent="0.35">
      <c r="A31" s="25"/>
      <c r="B31" s="26"/>
      <c r="C31" s="26"/>
      <c r="D31" s="26"/>
      <c r="E31" s="26"/>
      <c r="F31" s="26"/>
      <c r="G31" s="26"/>
      <c r="H31" s="26"/>
      <c r="I31" s="27"/>
    </row>
    <row r="32" spans="1:9" ht="15" thickBot="1" x14ac:dyDescent="0.35">
      <c r="A32" s="22"/>
      <c r="B32" s="22"/>
      <c r="C32" s="22"/>
      <c r="D32" s="22"/>
      <c r="E32" s="22"/>
      <c r="F32" s="22"/>
      <c r="G32" s="22"/>
      <c r="H32" s="22"/>
      <c r="I32" s="22"/>
    </row>
    <row r="33" spans="1:9" x14ac:dyDescent="0.3">
      <c r="A33" s="42" t="s">
        <v>64</v>
      </c>
      <c r="B33" s="43"/>
      <c r="C33" s="43"/>
      <c r="D33" s="43"/>
      <c r="E33" s="43"/>
      <c r="F33" s="43"/>
      <c r="G33" s="43"/>
      <c r="H33" s="43"/>
      <c r="I33" s="44"/>
    </row>
    <row r="34" spans="1:9" ht="15" thickBot="1" x14ac:dyDescent="0.35">
      <c r="A34" s="40" t="s">
        <v>4</v>
      </c>
      <c r="B34" s="41" t="s">
        <v>37</v>
      </c>
    </row>
    <row r="35" spans="1:9" x14ac:dyDescent="0.3">
      <c r="A35" s="46" t="s">
        <v>52</v>
      </c>
      <c r="B35" s="35">
        <v>12814</v>
      </c>
    </row>
    <row r="36" spans="1:9" x14ac:dyDescent="0.3">
      <c r="A36" s="46" t="s">
        <v>53</v>
      </c>
      <c r="B36" s="35">
        <v>240</v>
      </c>
    </row>
    <row r="37" spans="1:9" x14ac:dyDescent="0.3">
      <c r="A37" s="46" t="s">
        <v>54</v>
      </c>
      <c r="B37" s="35">
        <v>3400</v>
      </c>
    </row>
    <row r="38" spans="1:9" x14ac:dyDescent="0.3">
      <c r="A38" s="46" t="s">
        <v>55</v>
      </c>
      <c r="B38" s="35">
        <v>1120</v>
      </c>
    </row>
    <row r="39" spans="1:9" x14ac:dyDescent="0.3">
      <c r="A39" s="46" t="s">
        <v>56</v>
      </c>
      <c r="B39" s="35">
        <v>4960</v>
      </c>
    </row>
    <row r="40" spans="1:9" x14ac:dyDescent="0.3">
      <c r="A40" s="46" t="s">
        <v>57</v>
      </c>
      <c r="B40" s="35">
        <v>360</v>
      </c>
    </row>
    <row r="41" spans="1:9" x14ac:dyDescent="0.3">
      <c r="A41" s="46" t="s">
        <v>58</v>
      </c>
      <c r="B41" s="35">
        <v>480</v>
      </c>
    </row>
    <row r="42" spans="1:9" x14ac:dyDescent="0.3">
      <c r="A42" s="46" t="s">
        <v>59</v>
      </c>
      <c r="B42" s="35">
        <v>640</v>
      </c>
    </row>
    <row r="43" spans="1:9" x14ac:dyDescent="0.3">
      <c r="A43" s="46" t="s">
        <v>60</v>
      </c>
      <c r="B43" s="35">
        <v>400</v>
      </c>
    </row>
    <row r="44" spans="1:9" x14ac:dyDescent="0.3">
      <c r="A44" s="46" t="s">
        <v>61</v>
      </c>
      <c r="B44" s="35">
        <v>100</v>
      </c>
    </row>
    <row r="45" spans="1:9" x14ac:dyDescent="0.3">
      <c r="A45" s="46" t="s">
        <v>62</v>
      </c>
      <c r="B45" s="35">
        <v>1600</v>
      </c>
    </row>
    <row r="46" spans="1:9" ht="15" thickBot="1" x14ac:dyDescent="0.35">
      <c r="A46" s="47" t="s">
        <v>63</v>
      </c>
      <c r="B46" s="36">
        <v>800</v>
      </c>
    </row>
    <row r="49" spans="1:9" ht="15" thickBot="1" x14ac:dyDescent="0.35">
      <c r="A49" s="40" t="s">
        <v>0</v>
      </c>
      <c r="B49" s="41" t="s">
        <v>37</v>
      </c>
      <c r="C49" s="22"/>
      <c r="D49" s="22"/>
      <c r="E49" s="22"/>
      <c r="F49" s="22"/>
      <c r="G49" s="22"/>
      <c r="H49" s="22"/>
      <c r="I49" s="24"/>
    </row>
    <row r="50" spans="1:9" x14ac:dyDescent="0.3">
      <c r="A50" s="38" t="s">
        <v>28</v>
      </c>
      <c r="B50" s="35">
        <v>3120</v>
      </c>
      <c r="C50" s="22"/>
      <c r="D50" s="22"/>
      <c r="E50" s="22"/>
      <c r="F50" s="22"/>
      <c r="G50" s="22"/>
      <c r="H50" s="22"/>
      <c r="I50" s="24"/>
    </row>
    <row r="51" spans="1:9" x14ac:dyDescent="0.3">
      <c r="A51" s="38" t="s">
        <v>10</v>
      </c>
      <c r="B51" s="35">
        <v>4700</v>
      </c>
      <c r="C51" s="22"/>
      <c r="D51" s="22"/>
      <c r="E51" s="22"/>
      <c r="F51" s="22"/>
      <c r="G51" s="22"/>
      <c r="H51" s="22"/>
      <c r="I51" s="24"/>
    </row>
    <row r="52" spans="1:9" x14ac:dyDescent="0.3">
      <c r="A52" s="38" t="s">
        <v>21</v>
      </c>
      <c r="B52" s="35">
        <v>10014</v>
      </c>
      <c r="C52" s="22"/>
      <c r="D52" s="22"/>
      <c r="E52" s="22"/>
      <c r="F52" s="22"/>
      <c r="G52" s="22"/>
      <c r="H52" s="22"/>
      <c r="I52" s="24"/>
    </row>
    <row r="53" spans="1:9" x14ac:dyDescent="0.3">
      <c r="A53" s="38" t="s">
        <v>24</v>
      </c>
      <c r="B53" s="35">
        <v>3400</v>
      </c>
      <c r="C53" s="22"/>
      <c r="D53" s="22"/>
      <c r="E53" s="22"/>
      <c r="F53" s="22"/>
      <c r="G53" s="22"/>
      <c r="H53" s="22"/>
      <c r="I53" s="24"/>
    </row>
    <row r="54" spans="1:9" ht="15" thickBot="1" x14ac:dyDescent="0.35">
      <c r="A54" s="41" t="s">
        <v>18</v>
      </c>
      <c r="B54" s="36">
        <v>5680</v>
      </c>
      <c r="C54" s="26"/>
      <c r="D54" s="26"/>
      <c r="E54" s="26"/>
      <c r="F54" s="26"/>
      <c r="G54" s="26"/>
      <c r="H54" s="26"/>
      <c r="I54" s="27"/>
    </row>
    <row r="61" spans="1:9" ht="15" thickBot="1" x14ac:dyDescent="0.35"/>
  </sheetData>
  <mergeCells count="4">
    <mergeCell ref="A2:I2"/>
    <mergeCell ref="A12:I12"/>
    <mergeCell ref="A22:I22"/>
    <mergeCell ref="A33:I33"/>
  </mergeCells>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E30" sqref="E30"/>
    </sheetView>
  </sheetViews>
  <sheetFormatPr defaultRowHeight="14.4" x14ac:dyDescent="0.3"/>
  <sheetData>
    <row r="1" spans="1:2" x14ac:dyDescent="0.3">
      <c r="A1" s="45" t="s">
        <v>42</v>
      </c>
      <c r="B1" s="45"/>
    </row>
    <row r="2" spans="1:2" x14ac:dyDescent="0.3">
      <c r="A2" t="s">
        <v>43</v>
      </c>
    </row>
    <row r="3" spans="1:2" x14ac:dyDescent="0.3">
      <c r="A3" t="s">
        <v>44</v>
      </c>
    </row>
    <row r="4" spans="1:2" x14ac:dyDescent="0.3">
      <c r="A4" t="s">
        <v>45</v>
      </c>
    </row>
    <row r="5" spans="1:2" x14ac:dyDescent="0.3">
      <c r="A5" t="s">
        <v>46</v>
      </c>
    </row>
    <row r="7" spans="1:2" x14ac:dyDescent="0.3">
      <c r="A7" s="45" t="s">
        <v>47</v>
      </c>
      <c r="B7" s="45"/>
    </row>
    <row r="8" spans="1:2" x14ac:dyDescent="0.3">
      <c r="A8" t="s">
        <v>48</v>
      </c>
    </row>
    <row r="9" spans="1:2" x14ac:dyDescent="0.3">
      <c r="A9" t="s">
        <v>49</v>
      </c>
    </row>
  </sheetData>
  <mergeCells count="2">
    <mergeCell ref="A1:B1"/>
    <mergeCell ref="A7:B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W14" sqref="W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E03B8B-5191-45DE-AD06-86B9E70AD8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RAWDATA</vt:lpstr>
      <vt:lpstr>DATASET</vt:lpstr>
      <vt:lpstr>ANALYSIS</vt:lpstr>
      <vt:lpstr>TASK</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gulati</dc:creator>
  <cp:lastModifiedBy>nishant gulati</cp:lastModifiedBy>
  <dcterms:created xsi:type="dcterms:W3CDTF">2026-07-28T09:45:30Z</dcterms:created>
  <dcterms:modified xsi:type="dcterms:W3CDTF">2026-09-18T13:26:51Z</dcterms:modified>
</cp:coreProperties>
</file>